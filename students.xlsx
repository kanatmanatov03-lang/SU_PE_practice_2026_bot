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https://satbayevuniversity-my.sharepoint.com/personal/k_manatov_satbayev_university/Documents/Desktop/k.manatov/SU/25-26/13. Практика/SU_PE_practice_2026_bot/"/>
    </mc:Choice>
  </mc:AlternateContent>
  <xr:revisionPtr revIDLastSave="1487" documentId="11_F25DC773A252ABDACC10488299DA74C45ADE58EF" xr6:coauthVersionLast="47" xr6:coauthVersionMax="47" xr10:uidLastSave="{F00E681F-0F28-2345-A5C3-EC1C64ED168E}"/>
  <bookViews>
    <workbookView xWindow="0" yWindow="0" windowWidth="33600" windowHeight="210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I3" i="1" a="1"/>
  <c r="H4" i="1" a="1"/>
  <c r="I4" i="1" a="1"/>
  <c r="H5" i="1" a="1"/>
  <c r="I5" i="1" a="1"/>
  <c r="I5" i="1" s="1"/>
  <c r="H6" i="1" a="1"/>
  <c r="H6" i="1" s="1"/>
  <c r="I6" i="1" a="1"/>
  <c r="H7" i="1" a="1"/>
  <c r="I7" i="1" a="1"/>
  <c r="H8" i="1" a="1"/>
  <c r="H8" i="1" s="1"/>
  <c r="I8" i="1" a="1"/>
  <c r="H9" i="1" a="1"/>
  <c r="I9" i="1" a="1"/>
  <c r="I9" i="1" s="1"/>
  <c r="H10" i="1" a="1"/>
  <c r="H10" i="1" s="1"/>
  <c r="I10" i="1" a="1"/>
  <c r="H11" i="1" a="1"/>
  <c r="I11" i="1" a="1"/>
  <c r="H12" i="1" a="1"/>
  <c r="I12" i="1" a="1"/>
  <c r="H13" i="1" a="1"/>
  <c r="I13" i="1" a="1"/>
  <c r="I13" i="1" s="1"/>
  <c r="H14" i="1" a="1"/>
  <c r="H14" i="1" s="1"/>
  <c r="I14" i="1" a="1"/>
  <c r="H15" i="1" a="1"/>
  <c r="I15" i="1" a="1"/>
  <c r="H16" i="1" a="1"/>
  <c r="H16" i="1" s="1"/>
  <c r="I16" i="1" a="1"/>
  <c r="H17" i="1" a="1"/>
  <c r="I17" i="1" a="1"/>
  <c r="I17" i="1" s="1"/>
  <c r="H18" i="1" a="1"/>
  <c r="H18" i="1" s="1"/>
  <c r="I18" i="1" a="1"/>
  <c r="H19" i="1" a="1"/>
  <c r="I19" i="1" a="1"/>
  <c r="H20" i="1" a="1"/>
  <c r="H20" i="1" s="1"/>
  <c r="I20" i="1" a="1"/>
  <c r="H21" i="1" a="1"/>
  <c r="I21" i="1" a="1"/>
  <c r="I21" i="1" s="1"/>
  <c r="H22" i="1" a="1"/>
  <c r="H22" i="1" s="1"/>
  <c r="I22" i="1" a="1"/>
  <c r="H23" i="1" a="1"/>
  <c r="I23" i="1" a="1"/>
  <c r="H24" i="1" a="1"/>
  <c r="I24" i="1" a="1"/>
  <c r="H25" i="1" a="1"/>
  <c r="I25" i="1" a="1"/>
  <c r="I25" i="1" s="1"/>
  <c r="H26" i="1" a="1"/>
  <c r="H26" i="1" s="1"/>
  <c r="I26" i="1" a="1"/>
  <c r="H27" i="1" a="1"/>
  <c r="I27" i="1" a="1"/>
  <c r="H28" i="1" a="1"/>
  <c r="I28" i="1" a="1"/>
  <c r="H29" i="1" a="1"/>
  <c r="H29" i="1" s="1"/>
  <c r="I29" i="1" a="1"/>
  <c r="I29" i="1" s="1"/>
  <c r="H30" i="1" a="1"/>
  <c r="H30" i="1" s="1"/>
  <c r="I30" i="1" a="1"/>
  <c r="H31" i="1" a="1"/>
  <c r="I31" i="1" a="1"/>
  <c r="H32" i="1" a="1"/>
  <c r="H32" i="1" s="1"/>
  <c r="I32" i="1" a="1"/>
  <c r="I32" i="1" s="1"/>
  <c r="H33" i="1" a="1"/>
  <c r="I33" i="1" a="1"/>
  <c r="I33" i="1" s="1"/>
  <c r="H34" i="1" a="1"/>
  <c r="H34" i="1" s="1"/>
  <c r="I34" i="1" a="1"/>
  <c r="H35" i="1" a="1"/>
  <c r="I35" i="1" a="1"/>
  <c r="H36" i="1" a="1"/>
  <c r="H36" i="1" s="1"/>
  <c r="I36" i="1" a="1"/>
  <c r="I36" i="1" s="1"/>
  <c r="H37" i="1" a="1"/>
  <c r="H37" i="1" s="1"/>
  <c r="I37" i="1" a="1"/>
  <c r="I37" i="1" s="1"/>
  <c r="H38" i="1" a="1"/>
  <c r="H38" i="1" s="1"/>
  <c r="I38" i="1" a="1"/>
  <c r="I38" i="1" s="1"/>
  <c r="H39" i="1" a="1"/>
  <c r="I39" i="1" a="1"/>
  <c r="H40" i="1" a="1"/>
  <c r="I40" i="1" a="1"/>
  <c r="I40" i="1" s="1"/>
  <c r="H41" i="1" a="1"/>
  <c r="H41" i="1" s="1"/>
  <c r="I41" i="1" a="1"/>
  <c r="I41" i="1" s="1"/>
  <c r="H42" i="1" a="1"/>
  <c r="H42" i="1" s="1"/>
  <c r="I42" i="1" a="1"/>
  <c r="I42" i="1" s="1"/>
  <c r="H43" i="1" a="1"/>
  <c r="I43" i="1" a="1"/>
  <c r="H44" i="1" a="1"/>
  <c r="H44" i="1" s="1"/>
  <c r="I44" i="1" a="1"/>
  <c r="H45" i="1" a="1"/>
  <c r="I45" i="1" a="1"/>
  <c r="I45" i="1" s="1"/>
  <c r="H46" i="1" a="1"/>
  <c r="H46" i="1" s="1"/>
  <c r="I46" i="1" a="1"/>
  <c r="I46" i="1" s="1"/>
  <c r="H47" i="1" a="1"/>
  <c r="I47" i="1" a="1"/>
  <c r="H48" i="1" a="1"/>
  <c r="H48" i="1" s="1"/>
  <c r="I48" i="1" a="1"/>
  <c r="I48" i="1" s="1"/>
  <c r="H49" i="1" a="1"/>
  <c r="H49" i="1" s="1"/>
  <c r="I49" i="1" a="1"/>
  <c r="I49" i="1" s="1"/>
  <c r="H50" i="1" a="1"/>
  <c r="H50" i="1" s="1"/>
  <c r="I50" i="1" a="1"/>
  <c r="I50" i="1" s="1"/>
  <c r="H51" i="1" a="1"/>
  <c r="I51" i="1" a="1"/>
  <c r="H52" i="1" a="1"/>
  <c r="I52" i="1" a="1"/>
  <c r="H53" i="1" a="1"/>
  <c r="H53" i="1" s="1"/>
  <c r="I53" i="1" a="1"/>
  <c r="I53" i="1" s="1"/>
  <c r="H54" i="1" a="1"/>
  <c r="H54" i="1" s="1"/>
  <c r="I54" i="1" a="1"/>
  <c r="I54" i="1" s="1"/>
  <c r="H55" i="1" a="1"/>
  <c r="I55" i="1" a="1"/>
  <c r="H56" i="1" a="1"/>
  <c r="H56" i="1" s="1"/>
  <c r="I56" i="1" a="1"/>
  <c r="I56" i="1" s="1"/>
  <c r="H57" i="1" a="1"/>
  <c r="H57" i="1" s="1"/>
  <c r="I57" i="1" a="1"/>
  <c r="H58" i="1" a="1"/>
  <c r="H58" i="1" s="1"/>
  <c r="I58" i="1" a="1"/>
  <c r="I58" i="1" s="1"/>
  <c r="H59" i="1" a="1"/>
  <c r="I59" i="1" a="1"/>
  <c r="H60" i="1" a="1"/>
  <c r="I60" i="1" a="1"/>
  <c r="I60" i="1" s="1"/>
  <c r="H61" i="1" a="1"/>
  <c r="H61" i="1" s="1"/>
  <c r="I61" i="1" a="1"/>
  <c r="I61" i="1" s="1"/>
  <c r="H62" i="1" a="1"/>
  <c r="I62" i="1" a="1"/>
  <c r="I62" i="1" s="1"/>
  <c r="H63" i="1" a="1"/>
  <c r="I63" i="1" a="1"/>
  <c r="H64" i="1" a="1"/>
  <c r="I64" i="1" a="1"/>
  <c r="I64" i="1" s="1"/>
  <c r="H65" i="1" a="1"/>
  <c r="H65" i="1" s="1"/>
  <c r="I65" i="1" a="1"/>
  <c r="I65" i="1" s="1"/>
  <c r="H66" i="1" a="1"/>
  <c r="I66" i="1" a="1"/>
  <c r="I66" i="1" s="1"/>
  <c r="H67" i="1" a="1"/>
  <c r="I67" i="1" a="1"/>
  <c r="I67" i="1" s="1"/>
  <c r="H68" i="1" a="1"/>
  <c r="I68" i="1" a="1"/>
  <c r="I68" i="1" s="1"/>
  <c r="H69" i="1" a="1"/>
  <c r="H69" i="1" s="1"/>
  <c r="I69" i="1" a="1"/>
  <c r="I69" i="1" s="1"/>
  <c r="H70" i="1" a="1"/>
  <c r="H70" i="1" s="1"/>
  <c r="I70" i="1" a="1"/>
  <c r="I70" i="1" s="1"/>
  <c r="H71" i="1" a="1"/>
  <c r="I71" i="1" a="1"/>
  <c r="I71" i="1" s="1"/>
  <c r="H72" i="1" a="1"/>
  <c r="H72" i="1" s="1"/>
  <c r="I72" i="1" a="1"/>
  <c r="H73" i="1" a="1"/>
  <c r="H73" i="1" s="1"/>
  <c r="I73" i="1" a="1"/>
  <c r="I73" i="1" s="1"/>
  <c r="H74" i="1" a="1"/>
  <c r="H74" i="1" s="1"/>
  <c r="I74" i="1" a="1"/>
  <c r="I74" i="1" s="1"/>
  <c r="H75" i="1" a="1"/>
  <c r="I75" i="1" a="1"/>
  <c r="I75" i="1" s="1"/>
  <c r="H76" i="1" a="1"/>
  <c r="I76" i="1" a="1"/>
  <c r="I76" i="1" s="1"/>
  <c r="H77" i="1" a="1"/>
  <c r="H77" i="1" s="1"/>
  <c r="I77" i="1" a="1"/>
  <c r="I77" i="1" s="1"/>
  <c r="H78" i="1" a="1"/>
  <c r="H78" i="1" s="1"/>
  <c r="I78" i="1" a="1"/>
  <c r="I78" i="1" s="1"/>
  <c r="H79" i="1" a="1"/>
  <c r="H79" i="1" s="1"/>
  <c r="I79" i="1" a="1"/>
  <c r="I79" i="1" s="1"/>
  <c r="H80" i="1" a="1"/>
  <c r="H80" i="1" s="1"/>
  <c r="I80" i="1" a="1"/>
  <c r="I80" i="1" s="1"/>
  <c r="H81" i="1" a="1"/>
  <c r="H81" i="1" s="1"/>
  <c r="I81" i="1" a="1"/>
  <c r="I81" i="1" s="1"/>
  <c r="H82" i="1" a="1"/>
  <c r="H82" i="1" s="1"/>
  <c r="I82" i="1" a="1"/>
  <c r="I82" i="1" s="1"/>
  <c r="H83" i="1" a="1"/>
  <c r="I83" i="1" a="1"/>
  <c r="I83" i="1" s="1"/>
  <c r="H84" i="1" a="1"/>
  <c r="H84" i="1" s="1"/>
  <c r="I84" i="1" a="1"/>
  <c r="I84" i="1" s="1"/>
  <c r="H85" i="1" a="1"/>
  <c r="I85" i="1" a="1"/>
  <c r="I85" i="1" s="1"/>
  <c r="H86" i="1" a="1"/>
  <c r="H86" i="1" s="1"/>
  <c r="I86" i="1" a="1"/>
  <c r="I86" i="1" s="1"/>
  <c r="H87" i="1" a="1"/>
  <c r="I87" i="1" a="1"/>
  <c r="I87" i="1" s="1"/>
  <c r="H88" i="1" a="1"/>
  <c r="H88" i="1" s="1"/>
  <c r="I88" i="1" a="1"/>
  <c r="I88" i="1" s="1"/>
  <c r="H89" i="1" a="1"/>
  <c r="H89" i="1" s="1"/>
  <c r="I89" i="1" a="1"/>
  <c r="I89" i="1" s="1"/>
  <c r="H90" i="1" a="1"/>
  <c r="H90" i="1" s="1"/>
  <c r="I90" i="1" a="1"/>
  <c r="I90" i="1" s="1"/>
  <c r="H91" i="1" a="1"/>
  <c r="I91" i="1" a="1"/>
  <c r="I91" i="1" s="1"/>
  <c r="H92" i="1" a="1"/>
  <c r="H92" i="1" s="1"/>
  <c r="I92" i="1" a="1"/>
  <c r="I92" i="1" s="1"/>
  <c r="I2" i="1" a="1"/>
  <c r="I2" i="1" s="1"/>
  <c r="H2" i="1" a="1"/>
  <c r="H2" i="1" s="1"/>
  <c r="H91" i="1"/>
  <c r="H87" i="1"/>
  <c r="H85" i="1"/>
  <c r="H83" i="1"/>
  <c r="H76" i="1"/>
  <c r="H75" i="1"/>
  <c r="I72" i="1"/>
  <c r="H71" i="1"/>
  <c r="H68" i="1"/>
  <c r="H67" i="1"/>
  <c r="H66" i="1"/>
  <c r="H64" i="1"/>
  <c r="I63" i="1"/>
  <c r="H63" i="1"/>
  <c r="H62" i="1"/>
  <c r="H60" i="1"/>
  <c r="I59" i="1"/>
  <c r="H59" i="1"/>
  <c r="I57" i="1"/>
  <c r="I55" i="1"/>
  <c r="H55" i="1"/>
  <c r="I52" i="1"/>
  <c r="H52" i="1"/>
  <c r="I51" i="1"/>
  <c r="H51" i="1"/>
  <c r="I47" i="1"/>
  <c r="H47" i="1"/>
  <c r="H45" i="1"/>
  <c r="I44" i="1"/>
  <c r="I43" i="1"/>
  <c r="H43" i="1"/>
  <c r="H40" i="1"/>
  <c r="I39" i="1"/>
  <c r="H39" i="1"/>
  <c r="I35" i="1"/>
  <c r="H35" i="1"/>
  <c r="I34" i="1"/>
  <c r="H33" i="1"/>
  <c r="I31" i="1"/>
  <c r="H31" i="1"/>
  <c r="I30" i="1"/>
  <c r="I28" i="1"/>
  <c r="H28" i="1"/>
  <c r="I27" i="1"/>
  <c r="H27" i="1"/>
  <c r="I26" i="1"/>
  <c r="H25" i="1"/>
  <c r="I24" i="1"/>
  <c r="H24" i="1"/>
  <c r="I23" i="1"/>
  <c r="H23" i="1"/>
  <c r="I22" i="1"/>
  <c r="H21" i="1"/>
  <c r="I20" i="1"/>
  <c r="I19" i="1"/>
  <c r="H19" i="1"/>
  <c r="I18" i="1"/>
  <c r="H17" i="1"/>
  <c r="I16" i="1"/>
  <c r="I15" i="1"/>
  <c r="H15" i="1"/>
  <c r="I14" i="1"/>
  <c r="H13" i="1"/>
  <c r="I12" i="1"/>
  <c r="H12" i="1"/>
  <c r="I11" i="1"/>
  <c r="H11" i="1"/>
  <c r="I10" i="1"/>
  <c r="H9" i="1"/>
  <c r="I8" i="1"/>
  <c r="I7" i="1"/>
  <c r="H7" i="1"/>
  <c r="I6" i="1"/>
  <c r="H5" i="1"/>
  <c r="I4" i="1"/>
  <c r="H4" i="1"/>
  <c r="I3" i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<sst xmlns="http://schemas.openxmlformats.org/spreadsheetml/2006/main" count="1753" uniqueCount="283">
  <si>
    <t>№</t>
  </si>
  <si>
    <t>ФИО</t>
  </si>
  <si>
    <t>Курс</t>
  </si>
  <si>
    <t>Эдвайзер</t>
  </si>
  <si>
    <t>ОП</t>
  </si>
  <si>
    <t>Айымхан Бекзат Занғарұлы</t>
  </si>
  <si>
    <t>Алмат Асылбек Мейрбекұлы</t>
  </si>
  <si>
    <t>Арынай Ерқанат Ерланұлы</t>
  </si>
  <si>
    <t>Асылбеков Эльдар Дидарұлы</t>
  </si>
  <si>
    <t xml:space="preserve">Дүйсен Анеля Сейсебайқызы </t>
  </si>
  <si>
    <t>Жаңайұлы Бекасыл</t>
  </si>
  <si>
    <t xml:space="preserve">Илебай Әли Сұлтанұлы </t>
  </si>
  <si>
    <t>Қуан Әділхан Жаңабекұлы</t>
  </si>
  <si>
    <t>Қуанаев Радмир Берікұлы</t>
  </si>
  <si>
    <t>Сәуірбай Асылбек Даниярұлы</t>
  </si>
  <si>
    <t>Тұрысбеков Әділет Қуандықұлы</t>
  </si>
  <si>
    <t xml:space="preserve">Бутенко Павел Максимович </t>
  </si>
  <si>
    <t>Кабланбеков Рамазан Бекзатович</t>
  </si>
  <si>
    <t>Каландаров Эльзар Закиржанович</t>
  </si>
  <si>
    <t xml:space="preserve">Кантарбаева Амира Орынбасаровна </t>
  </si>
  <si>
    <t>Онгар Булбул</t>
  </si>
  <si>
    <t>6В07122 Теплоэнергетика</t>
  </si>
  <si>
    <t>Табаев Александр Андреевич</t>
  </si>
  <si>
    <t>Сайдахметов Саид Азизұлы</t>
  </si>
  <si>
    <t>Жамбыл Райымбек Марксұлы</t>
  </si>
  <si>
    <t>Куатова Жаннет Артуровна</t>
  </si>
  <si>
    <t>Нағи Ислам Әбілғазыұлы</t>
  </si>
  <si>
    <t>Сағынтай Аманжол Іргебайұлы</t>
  </si>
  <si>
    <t>Килимова Аружан Ерболатқызы</t>
  </si>
  <si>
    <t>Садыкова Милара Мейрамбекқызы</t>
  </si>
  <si>
    <t>Джилкишиев Руслан Берикович</t>
  </si>
  <si>
    <t>Ержанов Асылбек Ержанұлы</t>
  </si>
  <si>
    <t>Лұқпан Адильбек Әлібекұлы</t>
  </si>
  <si>
    <t>6В07101 Энергетика</t>
  </si>
  <si>
    <t>Бердибеков Абдисаттар Опабекович</t>
  </si>
  <si>
    <t>Манатов Қанат Азатұлы</t>
  </si>
  <si>
    <t>Абдыхалиев Бексултан Бахытжанулы</t>
  </si>
  <si>
    <t>Айдарханов Рустем Маратулы</t>
  </si>
  <si>
    <t>Амантай Айбек Дәулетұлы</t>
  </si>
  <si>
    <t>Ануар Нурсултан Талғатұлы</t>
  </si>
  <si>
    <t>Арьянова Милана Бахадыровна</t>
  </si>
  <si>
    <t>Бердаулетова Фатима Асхатқызы</t>
  </si>
  <si>
    <t>Бигазинов Амир Арнурович</t>
  </si>
  <si>
    <t>Гостевских Родион Александрович</t>
  </si>
  <si>
    <t>Дёмин Иван Русланович</t>
  </si>
  <si>
    <t>Ингамджанов Ильяр Камильжанович</t>
  </si>
  <si>
    <t>Ким Дмитрий Сергеевич</t>
  </si>
  <si>
    <t>Косолапов Владислав Денисович</t>
  </si>
  <si>
    <t xml:space="preserve">Қанайұлы Нұрәли </t>
  </si>
  <si>
    <t>Ниязалиева Нурайым Нурбахытовна</t>
  </si>
  <si>
    <t xml:space="preserve">Нурланкызы Рысжан </t>
  </si>
  <si>
    <t>Оралбек Асан Қуатұлы</t>
  </si>
  <si>
    <t>Павленко Андрей Викторович</t>
  </si>
  <si>
    <t>Поднебесный Тимур Максимович</t>
  </si>
  <si>
    <t>Полетаев Никита Евгеньевич</t>
  </si>
  <si>
    <t>Прохоров Дмитрий Иванович</t>
  </si>
  <si>
    <t>Савин Виталий Алексеевич</t>
  </si>
  <si>
    <t>Сахметов Алиби Абаевич</t>
  </si>
  <si>
    <t>Сұлтанғазы Мағжан Ілиясұлы</t>
  </si>
  <si>
    <t>Темирханов Азамат Дильмурадович</t>
  </si>
  <si>
    <t>Шамухсинов Шахдиёр Шаусманұлы</t>
  </si>
  <si>
    <t>Мадиқан Айбын Алтынханұлы</t>
  </si>
  <si>
    <t>Завьялов Матвей Владиславович</t>
  </si>
  <si>
    <t>Махидинова Анеля Жамалдиновна</t>
  </si>
  <si>
    <t>Строчков Александр Александрович</t>
  </si>
  <si>
    <t>Уразбаев Ерсаин Асетович</t>
  </si>
  <si>
    <t>Батаев Роман Юрьевич</t>
  </si>
  <si>
    <t xml:space="preserve">Достияров Данияр Бекжанович </t>
  </si>
  <si>
    <t>Койшыбаев Нур Жарасович</t>
  </si>
  <si>
    <t>Фишер Эмиль Андреевич</t>
  </si>
  <si>
    <t>Шан Максут Витальевич</t>
  </si>
  <si>
    <t xml:space="preserve">6B07127 Наземный электрический транспорт и зарядная инфраструктура </t>
  </si>
  <si>
    <t xml:space="preserve">6B07128 Цифровая Энергетика </t>
  </si>
  <si>
    <t>Кабдрасил Жибек Кадрасиловна</t>
  </si>
  <si>
    <t>Конаев Алтай Конайулы</t>
  </si>
  <si>
    <t>Коске Нұрболат Еркінұлы</t>
  </si>
  <si>
    <t>Куандыков Хангельды Серикулы</t>
  </si>
  <si>
    <t>Қадыр Бекасыл Есенұлы</t>
  </si>
  <si>
    <t>Қалимжан Еркебұлан Ғабитжанұлы</t>
  </si>
  <si>
    <t>Қанафия Әлихан Ержанұлы</t>
  </si>
  <si>
    <t>Қосай Ерасыл Ерданаұлы</t>
  </si>
  <si>
    <t>Қыстаубаев Ринат Талғатұлы</t>
  </si>
  <si>
    <t>Аралбай Мұхамед-Қанафия Сапарбекұлы</t>
  </si>
  <si>
    <t>Бисекен Марғұлан Асыланұлы</t>
  </si>
  <si>
    <t>Елдибаев Мәди Русланұлы</t>
  </si>
  <si>
    <t>Мухамбеткали Мади</t>
  </si>
  <si>
    <t>Амангелді Ерасыл Ержанұлы</t>
  </si>
  <si>
    <t>Имангелді Ерсұлтан Нұрболатұлы</t>
  </si>
  <si>
    <t>Кабдолданов Аслан Ардакұлы</t>
  </si>
  <si>
    <t>Нұғыманов Расұл Ержанұлы</t>
  </si>
  <si>
    <t>Рахым Бекзат Айдарұлы</t>
  </si>
  <si>
    <t>Бейсенбай Шерхан Нұрмақанбетұлы</t>
  </si>
  <si>
    <t>Болат Әділет Тұрарбекұлы</t>
  </si>
  <si>
    <t xml:space="preserve">Жұмаханұлы Нұр </t>
  </si>
  <si>
    <t>Рустемов Нұрдәулет Муратұлы</t>
  </si>
  <si>
    <t>Тілеген Али Төлегенұлы</t>
  </si>
  <si>
    <t>Скендирова Л.Ш.</t>
  </si>
  <si>
    <t>Буквенная оценка</t>
  </si>
  <si>
    <t>Баллы</t>
  </si>
  <si>
    <t>GPA</t>
  </si>
  <si>
    <t>Умышева М. М.</t>
  </si>
  <si>
    <t>6B07128 Цифровая Энергетика</t>
  </si>
  <si>
    <t>Айдар Әділет Берділлаұлы</t>
  </si>
  <si>
    <t>Аманғалиқызы Әсия</t>
  </si>
  <si>
    <t>Арманұлы Ерасыл</t>
  </si>
  <si>
    <t>Есберген Іңкәр Емілқызы</t>
  </si>
  <si>
    <t>Әлібек Алан Асланбекұлы</t>
  </si>
  <si>
    <t>Сенбек Мұқасан Мұқанұлы</t>
  </si>
  <si>
    <t>Замирбек Данияр Русланулы</t>
  </si>
  <si>
    <t>Шарапатдин Қажыбек Караматдинұлы</t>
  </si>
  <si>
    <t>Договор</t>
  </si>
  <si>
    <t>Дневник</t>
  </si>
  <si>
    <t>Отчет</t>
  </si>
  <si>
    <t>+</t>
  </si>
  <si>
    <t>нет печати</t>
  </si>
  <si>
    <t>онлайн</t>
  </si>
  <si>
    <t>Онгар Б.</t>
  </si>
  <si>
    <t>Бердибеков А. Б.</t>
  </si>
  <si>
    <t>Манатов Қ. А.</t>
  </si>
  <si>
    <t>Кабдрасил Ж. К.</t>
  </si>
  <si>
    <t>Скендирова Л. Ш.</t>
  </si>
  <si>
    <t>03.08.2026</t>
  </si>
  <si>
    <t>20.07.2026</t>
  </si>
  <si>
    <t>отсутствуют 2, 3 раздел</t>
  </si>
  <si>
    <t>пятница</t>
  </si>
  <si>
    <t>нет печати в русской версии</t>
  </si>
  <si>
    <t>пустой отчет, только титулка</t>
  </si>
  <si>
    <t>нет</t>
  </si>
  <si>
    <t>нет замечаний</t>
  </si>
  <si>
    <t>Количество страниц (12-15)</t>
  </si>
  <si>
    <t>пункт 1 пустой</t>
  </si>
  <si>
    <t>кафедра, вид практики, IV раздел-начало</t>
  </si>
  <si>
    <t>отстутсвует сам отчет</t>
  </si>
  <si>
    <t>не соответствует</t>
  </si>
  <si>
    <t>минорные замечания по стандарту</t>
  </si>
  <si>
    <t>мажорные замечания по стандарту</t>
  </si>
  <si>
    <t>Сроки сдачи</t>
  </si>
  <si>
    <t>соблюдены</t>
  </si>
  <si>
    <t>не соблюдены (договор)</t>
  </si>
  <si>
    <t>не соблюдены (договор, дневник, отчет)</t>
  </si>
  <si>
    <t>не соблюдены (дневник, отчет)</t>
  </si>
  <si>
    <t>стандарт не соблюден, графических материалов нет</t>
  </si>
  <si>
    <t>мало графических материалов</t>
  </si>
  <si>
    <t>мало графических материалов, минорные замечания по стандарту</t>
  </si>
  <si>
    <t>мажорные замечания по стандарту, графических материалов нет</t>
  </si>
  <si>
    <t>замечания по стандарту, графических материалов нет</t>
  </si>
  <si>
    <t>Требования по отчету</t>
  </si>
  <si>
    <t>Структура отчета</t>
  </si>
  <si>
    <t>написана через ИИ полностью</t>
  </si>
  <si>
    <t>C+</t>
  </si>
  <si>
    <t>B-</t>
  </si>
  <si>
    <t>B</t>
  </si>
  <si>
    <t>A-</t>
  </si>
  <si>
    <t>A</t>
  </si>
  <si>
    <t>F</t>
  </si>
  <si>
    <t>FX</t>
  </si>
  <si>
    <t>B+</t>
  </si>
  <si>
    <t>D</t>
  </si>
  <si>
    <t>Кол. стр. (12-15)</t>
  </si>
  <si>
    <t>соблюдена</t>
  </si>
  <si>
    <t>присутствуют признаки ИИ (подозрение: высокое)</t>
  </si>
  <si>
    <t>присутствуют признаки ИИ (подозрение: среднее)</t>
  </si>
  <si>
    <t>мало графических материалов, замечания по стандарту</t>
  </si>
  <si>
    <t>минорные замечания по стандарту, графических материалов нет</t>
  </si>
  <si>
    <t>стандарт не соблюден</t>
  </si>
  <si>
    <t>замечания по стандарту</t>
  </si>
  <si>
    <t>ожидается</t>
  </si>
  <si>
    <t>стандарт не  соблюден</t>
  </si>
  <si>
    <t>неполная структура</t>
  </si>
  <si>
    <t>ожидается 3 августа</t>
  </si>
  <si>
    <t>принят</t>
  </si>
  <si>
    <t>ожидается в сентябре</t>
  </si>
  <si>
    <t>не предоставлен</t>
  </si>
  <si>
    <t>ожидается 20-25 июля</t>
  </si>
  <si>
    <t>ожидается 26 инюя</t>
  </si>
  <si>
    <t>&gt;15</t>
  </si>
  <si>
    <t>ожидается в сентябре с исправленными замечаниями: кафедра, вид практики, IV раздел-начало</t>
  </si>
  <si>
    <t>ожидается в сентябре с исправленными замечаниями: ожидается в сентябре: название института, вид практики не указаны полностью. 6 пункт, нет печати</t>
  </si>
  <si>
    <t>ожидается в сентябре с исправленными замечаниями: нет печати и подписи</t>
  </si>
  <si>
    <t>ожидается в сентябре с исправленными замечаниями: нет печати в русской версии</t>
  </si>
  <si>
    <t>ожидается в сентябре с исправленными замечаниями: отсутствуют 2, 3 раздел</t>
  </si>
  <si>
    <t>ожидается в сентябре с исправленными замечаниями: пустой отчет, только титулка</t>
  </si>
  <si>
    <t>ожидается в сентябре с исправленными замечаниями: неполные поля (институт, вид практики)</t>
  </si>
  <si>
    <t>ИИН</t>
  </si>
  <si>
    <t>Дүйсен Анеля Сейсебайқызы</t>
  </si>
  <si>
    <t>Илебай Әли Сұлтанұлы</t>
  </si>
  <si>
    <t>Бутенко Павел Максимович</t>
  </si>
  <si>
    <t>Кантарбаева Амира Орынбасаровна</t>
  </si>
  <si>
    <t>070301500854</t>
  </si>
  <si>
    <t>060322501528</t>
  </si>
  <si>
    <t>070411500377</t>
  </si>
  <si>
    <t>061228551764</t>
  </si>
  <si>
    <t>071208651406</t>
  </si>
  <si>
    <t>070825553170</t>
  </si>
  <si>
    <t>061005501696</t>
  </si>
  <si>
    <t>070412550021</t>
  </si>
  <si>
    <t>070319550968</t>
  </si>
  <si>
    <t>051204501478</t>
  </si>
  <si>
    <t>061219501005</t>
  </si>
  <si>
    <t>061223550352</t>
  </si>
  <si>
    <t>070313501451</t>
  </si>
  <si>
    <t>060320500925</t>
  </si>
  <si>
    <t>070206600309</t>
  </si>
  <si>
    <t>040817500636</t>
  </si>
  <si>
    <t>040429500607</t>
  </si>
  <si>
    <t>050505551130</t>
  </si>
  <si>
    <t>050620651003</t>
  </si>
  <si>
    <t>051117550929</t>
  </si>
  <si>
    <t>050209501254</t>
  </si>
  <si>
    <t>041116651272</t>
  </si>
  <si>
    <t>041115651623</t>
  </si>
  <si>
    <t>050420550100</t>
  </si>
  <si>
    <t>050929551374</t>
  </si>
  <si>
    <t>050724550113</t>
  </si>
  <si>
    <t>Достияров Данияр Бекжанович</t>
  </si>
  <si>
    <t>Қанайұлы Нұрәли</t>
  </si>
  <si>
    <t>Нурланкызы Рысжан</t>
  </si>
  <si>
    <t>050903500754</t>
  </si>
  <si>
    <t>050430551193</t>
  </si>
  <si>
    <t>050517550237</t>
  </si>
  <si>
    <t>050725501021</t>
  </si>
  <si>
    <t>060109601704</t>
  </si>
  <si>
    <t>061031600140</t>
  </si>
  <si>
    <t>050329501544</t>
  </si>
  <si>
    <t>050421550949</t>
  </si>
  <si>
    <t>050117500810</t>
  </si>
  <si>
    <t>050218501233</t>
  </si>
  <si>
    <t>051130500834</t>
  </si>
  <si>
    <t>051211551333</t>
  </si>
  <si>
    <t>060510501331</t>
  </si>
  <si>
    <t>060620601633</t>
  </si>
  <si>
    <t>050517650144</t>
  </si>
  <si>
    <t>050225501330</t>
  </si>
  <si>
    <t>050925501059</t>
  </si>
  <si>
    <t>050902502071</t>
  </si>
  <si>
    <t>051203551330</t>
  </si>
  <si>
    <t>060819500829</t>
  </si>
  <si>
    <t>050630501619</t>
  </si>
  <si>
    <t>060506550784</t>
  </si>
  <si>
    <t>061029551267</t>
  </si>
  <si>
    <t>051124501205</t>
  </si>
  <si>
    <t>051201500631</t>
  </si>
  <si>
    <t>050607550968</t>
  </si>
  <si>
    <t>050404500810</t>
  </si>
  <si>
    <t>060223602029</t>
  </si>
  <si>
    <t>050708501237</t>
  </si>
  <si>
    <t>060301501335</t>
  </si>
  <si>
    <t>060223501074</t>
  </si>
  <si>
    <t>050507501472</t>
  </si>
  <si>
    <t>050718550983</t>
  </si>
  <si>
    <t>051226551672</t>
  </si>
  <si>
    <t>051103500847</t>
  </si>
  <si>
    <t>061114500958</t>
  </si>
  <si>
    <t>060327551462</t>
  </si>
  <si>
    <t>051009500427</t>
  </si>
  <si>
    <t>060418550825</t>
  </si>
  <si>
    <t>060801551657</t>
  </si>
  <si>
    <t>060227550758</t>
  </si>
  <si>
    <t>060125501247</t>
  </si>
  <si>
    <t>040509501293</t>
  </si>
  <si>
    <t>041031551363</t>
  </si>
  <si>
    <t>050828550268</t>
  </si>
  <si>
    <t>050405550208</t>
  </si>
  <si>
    <t>060415550036</t>
  </si>
  <si>
    <t>Жұмаханұлы Нұр</t>
  </si>
  <si>
    <t>050910500564</t>
  </si>
  <si>
    <t>050827500385</t>
  </si>
  <si>
    <t>060124552144</t>
  </si>
  <si>
    <t>060616501883</t>
  </si>
  <si>
    <t>051113500217</t>
  </si>
  <si>
    <t>061001501456</t>
  </si>
  <si>
    <t>051127550100</t>
  </si>
  <si>
    <t>060130501524</t>
  </si>
  <si>
    <t>060302501073</t>
  </si>
  <si>
    <t>060717550424</t>
  </si>
  <si>
    <t>080313552339</t>
  </si>
  <si>
    <t>080327653240</t>
  </si>
  <si>
    <t>080405553357</t>
  </si>
  <si>
    <t>080607653004</t>
  </si>
  <si>
    <t>080501553844</t>
  </si>
  <si>
    <t>071215553791</t>
  </si>
  <si>
    <t>080624552364</t>
  </si>
  <si>
    <t>081107554952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</si>
</sst>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E4D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7D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"/>
  <sheetViews>
    <sheetView tabSelected="1" topLeftCell="A68" zoomScale="85" zoomScaleNormal="85" workbookViewId="0">
      <selection activeCell="G83" sqref="G83"/>
    </sheetView>
  </sheetViews>
  <sheetFormatPr baseColWidth="10" defaultColWidth="9.1640625" defaultRowHeight="13" x14ac:dyDescent="0.2"/>
  <cols>
    <col min="1" max="1" width="8.5" style="10" bestFit="1" customWidth="1"/>
    <col min="2" max="2" width="10.6640625" style="10" bestFit="1" customWidth="1"/>
    <col min="3" max="3" width="30.5" style="5" customWidth="1"/>
    <col min="4" max="4" width="15.5" style="5" bestFit="1" customWidth="1"/>
    <col min="5" max="5" width="35.5" style="5" bestFit="1" customWidth="1"/>
    <col min="6" max="6" width="13.1640625" style="17" bestFit="1" customWidth="1"/>
    <col min="7" max="7" width="12.6640625" style="5" bestFit="1" customWidth="1"/>
    <col min="8" max="8" width="22.6640625" style="5" bestFit="1" customWidth="1"/>
    <col min="9" max="9" width="10.5" style="5" bestFit="1" customWidth="1"/>
    <col min="10" max="10" width="11.33203125" style="9" customWidth="1"/>
    <col min="11" max="11" width="12.6640625" style="9" customWidth="1"/>
    <col min="12" max="12" width="13" style="9" customWidth="1"/>
    <col min="13" max="13" width="11.83203125" style="9" customWidth="1"/>
    <col min="14" max="14" width="8.6640625" style="10" customWidth="1"/>
    <col min="15" max="15" width="16.6640625" style="5" customWidth="1"/>
    <col min="16" max="16" width="15.5" style="5" customWidth="1"/>
    <col min="17" max="16384" width="9.1640625" style="5"/>
  </cols>
  <sheetData>
    <row r="1" spans="1:16" s="2" customFormat="1" ht="28" x14ac:dyDescent="0.2">
      <c r="A1" s="1" t="s">
        <v>0</v>
      </c>
      <c r="B1" s="1" t="s">
        <v>2</v>
      </c>
      <c r="C1" s="1" t="s">
        <v>4</v>
      </c>
      <c r="D1" s="1" t="s">
        <v>3</v>
      </c>
      <c r="E1" s="1" t="s">
        <v>1</v>
      </c>
      <c r="F1" s="13" t="s">
        <v>183</v>
      </c>
      <c r="G1" s="1" t="s">
        <v>98</v>
      </c>
      <c r="H1" s="1" t="s">
        <v>97</v>
      </c>
      <c r="I1" s="1" t="s">
        <v>99</v>
      </c>
      <c r="J1" s="1" t="s">
        <v>110</v>
      </c>
      <c r="K1" s="1" t="s">
        <v>111</v>
      </c>
      <c r="L1" s="1" t="s">
        <v>112</v>
      </c>
      <c r="M1" s="1" t="s">
        <v>136</v>
      </c>
      <c r="N1" s="1" t="s">
        <v>158</v>
      </c>
      <c r="O1" s="1" t="s">
        <v>146</v>
      </c>
      <c r="P1" s="1" t="s">
        <v>147</v>
      </c>
    </row>
    <row r="2" spans="1:16" ht="56" x14ac:dyDescent="0.2">
      <c r="A2" s="3">
        <v>1</v>
      </c>
      <c r="B2" s="3">
        <v>2</v>
      </c>
      <c r="C2" s="4" t="s">
        <v>21</v>
      </c>
      <c r="D2" s="4" t="s">
        <v>116</v>
      </c>
      <c r="E2" s="4" t="s">
        <v>5</v>
      </c>
      <c r="F2" s="14" t="s">
        <v>188</v>
      </c>
      <c r="G2" s="4">
        <v>70</v>
      </c>
      <c r="H2" s="4" t="str" cm="1">
        <f t="array" ref="H2">_xlfn.IFS(G2&gt;=95,"A",G2&gt;=90,"A-",G2&gt;=85,"B+",G2&gt;=80,"B",G2&gt;=75,"B-",G2&gt;=70,"C+",G2&gt;=65,"C",G2&gt;=60,"C-",G2&gt;=55,"D+",G2&gt;=50,"D",G2&gt;=25,"FX",G2&gt;=0,"F")</f>
        <v>C+</v>
      </c>
      <c r="I2" s="4" cm="1">
        <f t="array" ref="I2">_xlfn.IFS(G2&gt;=95,4,G2&gt;=90,3.67,G2&gt;=85,3.33,G2&gt;=80,3,G2&gt;=75,2.67,G2&gt;=70,2.33,G2&gt;=65,2,G2&gt;=60,1.67,G2&gt;=55,1.33,G2&gt;=50,1,G2&gt;=25,0.5,G2&gt;=0,0)</f>
        <v>2.33</v>
      </c>
      <c r="J2" s="4" t="s">
        <v>170</v>
      </c>
      <c r="K2" s="4" t="s">
        <v>170</v>
      </c>
      <c r="L2" s="4" t="s">
        <v>170</v>
      </c>
      <c r="M2" s="4" t="s">
        <v>137</v>
      </c>
      <c r="N2" s="3">
        <v>17</v>
      </c>
      <c r="O2" s="4" t="s">
        <v>141</v>
      </c>
      <c r="P2" s="4" t="s">
        <v>161</v>
      </c>
    </row>
    <row r="3" spans="1:16" ht="56" x14ac:dyDescent="0.2">
      <c r="A3" s="3">
        <v>2</v>
      </c>
      <c r="B3" s="3">
        <v>2</v>
      </c>
      <c r="C3" s="4" t="s">
        <v>21</v>
      </c>
      <c r="D3" s="4" t="s">
        <v>116</v>
      </c>
      <c r="E3" s="4" t="s">
        <v>6</v>
      </c>
      <c r="F3" s="14" t="s">
        <v>189</v>
      </c>
      <c r="G3" s="4">
        <v>70</v>
      </c>
      <c r="H3" s="4" t="str" cm="1">
        <f t="array" ref="H3">_xlfn.IFS(G3&gt;=95,"A",G3&gt;=90,"A-",G3&gt;=85,"B+",G3&gt;=80,"B",G3&gt;=75,"B-",G3&gt;=70,"C+",G3&gt;=65,"C",G3&gt;=60,"C-",G3&gt;=55,"D+",G3&gt;=50,"D",G3&gt;=25,"FX",G3&gt;=0,"F")</f>
        <v>C+</v>
      </c>
      <c r="I3" s="4" cm="1">
        <f t="array" ref="I3">_xlfn.IFS(G3&gt;=95,4,G3&gt;=90,3.67,G3&gt;=85,3.33,G3&gt;=80,3,G3&gt;=75,2.67,G3&gt;=70,2.33,G3&gt;=65,2,G3&gt;=60,1.67,G3&gt;=55,1.33,G3&gt;=50,1,G3&gt;=25,0.5,G3&gt;=0,0)</f>
        <v>2.33</v>
      </c>
      <c r="J3" s="4" t="s">
        <v>170</v>
      </c>
      <c r="K3" s="4" t="s">
        <v>170</v>
      </c>
      <c r="L3" s="4" t="s">
        <v>114</v>
      </c>
      <c r="M3" s="4" t="s">
        <v>137</v>
      </c>
      <c r="N3" s="3">
        <v>15</v>
      </c>
      <c r="O3" s="4" t="s">
        <v>144</v>
      </c>
      <c r="P3" s="4" t="s">
        <v>161</v>
      </c>
    </row>
    <row r="4" spans="1:16" ht="56" x14ac:dyDescent="0.2">
      <c r="A4" s="3">
        <v>3</v>
      </c>
      <c r="B4" s="3">
        <v>2</v>
      </c>
      <c r="C4" s="4" t="s">
        <v>21</v>
      </c>
      <c r="D4" s="4" t="s">
        <v>116</v>
      </c>
      <c r="E4" s="4" t="s">
        <v>7</v>
      </c>
      <c r="F4" s="14" t="s">
        <v>190</v>
      </c>
      <c r="G4" s="4">
        <v>70</v>
      </c>
      <c r="H4" s="4" t="str" cm="1">
        <f t="array" ref="H4">_xlfn.IFS(G4&gt;=95,"A",G4&gt;=90,"A-",G4&gt;=85,"B+",G4&gt;=80,"B",G4&gt;=75,"B-",G4&gt;=70,"C+",G4&gt;=65,"C",G4&gt;=60,"C-",G4&gt;=55,"D+",G4&gt;=50,"D",G4&gt;=25,"FX",G4&gt;=0,"F")</f>
        <v>C+</v>
      </c>
      <c r="I4" s="4" cm="1">
        <f t="array" ref="I4">_xlfn.IFS(G4&gt;=95,4,G4&gt;=90,3.67,G4&gt;=85,3.33,G4&gt;=80,3,G4&gt;=75,2.67,G4&gt;=70,2.33,G4&gt;=65,2,G4&gt;=60,1.67,G4&gt;=55,1.33,G4&gt;=50,1,G4&gt;=25,0.5,G4&gt;=0,0)</f>
        <v>2.33</v>
      </c>
      <c r="J4" s="4" t="s">
        <v>170</v>
      </c>
      <c r="K4" s="4" t="s">
        <v>170</v>
      </c>
      <c r="L4" s="4" t="s">
        <v>170</v>
      </c>
      <c r="M4" s="4" t="s">
        <v>137</v>
      </c>
      <c r="N4" s="3">
        <v>18</v>
      </c>
      <c r="O4" s="4" t="s">
        <v>141</v>
      </c>
      <c r="P4" s="4" t="s">
        <v>161</v>
      </c>
    </row>
    <row r="5" spans="1:16" ht="56" x14ac:dyDescent="0.2">
      <c r="A5" s="3">
        <v>4</v>
      </c>
      <c r="B5" s="3">
        <v>2</v>
      </c>
      <c r="C5" s="4" t="s">
        <v>21</v>
      </c>
      <c r="D5" s="4" t="s">
        <v>116</v>
      </c>
      <c r="E5" s="4" t="s">
        <v>8</v>
      </c>
      <c r="F5" s="14" t="s">
        <v>191</v>
      </c>
      <c r="G5" s="4">
        <v>75</v>
      </c>
      <c r="H5" s="4" t="str" cm="1">
        <f t="array" ref="H5">_xlfn.IFS(G5&gt;=95,"A",G5&gt;=90,"A-",G5&gt;=85,"B+",G5&gt;=80,"B",G5&gt;=75,"B-",G5&gt;=70,"C+",G5&gt;=65,"C",G5&gt;=60,"C-",G5&gt;=55,"D+",G5&gt;=50,"D",G5&gt;=25,"FX",G5&gt;=0,"F")</f>
        <v>B-</v>
      </c>
      <c r="I5" s="4" cm="1">
        <f t="array" ref="I5">_xlfn.IFS(G5&gt;=95,4,G5&gt;=90,3.67,G5&gt;=85,3.33,G5&gt;=80,3,G5&gt;=75,2.67,G5&gt;=70,2.33,G5&gt;=65,2,G5&gt;=60,1.67,G5&gt;=55,1.33,G5&gt;=50,1,G5&gt;=25,0.5,G5&gt;=0,0)</f>
        <v>2.67</v>
      </c>
      <c r="J5" s="4" t="s">
        <v>171</v>
      </c>
      <c r="K5" s="4" t="s">
        <v>171</v>
      </c>
      <c r="L5" s="4" t="s">
        <v>171</v>
      </c>
      <c r="M5" s="4" t="s">
        <v>138</v>
      </c>
      <c r="N5" s="3">
        <v>14</v>
      </c>
      <c r="O5" s="4" t="s">
        <v>141</v>
      </c>
      <c r="P5" s="4" t="s">
        <v>160</v>
      </c>
    </row>
    <row r="6" spans="1:16" ht="56" x14ac:dyDescent="0.2">
      <c r="A6" s="3">
        <v>5</v>
      </c>
      <c r="B6" s="3">
        <v>2</v>
      </c>
      <c r="C6" s="4" t="s">
        <v>21</v>
      </c>
      <c r="D6" s="4" t="s">
        <v>116</v>
      </c>
      <c r="E6" s="4" t="s">
        <v>184</v>
      </c>
      <c r="F6" s="14" t="s">
        <v>192</v>
      </c>
      <c r="G6" s="4">
        <v>80</v>
      </c>
      <c r="H6" s="4" t="str" cm="1">
        <f t="array" ref="H6">_xlfn.IFS(G6&gt;=95,"A",G6&gt;=90,"A-",G6&gt;=85,"B+",G6&gt;=80,"B",G6&gt;=75,"B-",G6&gt;=70,"C+",G6&gt;=65,"C",G6&gt;=60,"C-",G6&gt;=55,"D+",G6&gt;=50,"D",G6&gt;=25,"FX",G6&gt;=0,"F")</f>
        <v>B</v>
      </c>
      <c r="I6" s="4" cm="1">
        <f t="array" ref="I6">_xlfn.IFS(G6&gt;=95,4,G6&gt;=90,3.67,G6&gt;=85,3.33,G6&gt;=80,3,G6&gt;=75,2.67,G6&gt;=70,2.33,G6&gt;=65,2,G6&gt;=60,1.67,G6&gt;=55,1.33,G6&gt;=50,1,G6&gt;=25,0.5,G6&gt;=0,0)</f>
        <v>3</v>
      </c>
      <c r="J6" s="4" t="s">
        <v>170</v>
      </c>
      <c r="K6" s="4" t="s">
        <v>170</v>
      </c>
      <c r="L6" s="4" t="s">
        <v>170</v>
      </c>
      <c r="M6" s="4" t="s">
        <v>137</v>
      </c>
      <c r="N6" s="3">
        <v>12</v>
      </c>
      <c r="O6" s="4" t="s">
        <v>162</v>
      </c>
      <c r="P6" s="4" t="s">
        <v>159</v>
      </c>
    </row>
    <row r="7" spans="1:16" ht="56" x14ac:dyDescent="0.2">
      <c r="A7" s="3">
        <v>6</v>
      </c>
      <c r="B7" s="3">
        <v>2</v>
      </c>
      <c r="C7" s="4" t="s">
        <v>21</v>
      </c>
      <c r="D7" s="4" t="s">
        <v>116</v>
      </c>
      <c r="E7" s="4" t="s">
        <v>10</v>
      </c>
      <c r="F7" s="14" t="s">
        <v>193</v>
      </c>
      <c r="G7" s="4">
        <v>80</v>
      </c>
      <c r="H7" s="4" t="str" cm="1">
        <f t="array" ref="H7">_xlfn.IFS(G7&gt;=95,"A",G7&gt;=90,"A-",G7&gt;=85,"B+",G7&gt;=80,"B",G7&gt;=75,"B-",G7&gt;=70,"C+",G7&gt;=65,"C",G7&gt;=60,"C-",G7&gt;=55,"D+",G7&gt;=50,"D",G7&gt;=25,"FX",G7&gt;=0,"F")</f>
        <v>B</v>
      </c>
      <c r="I7" s="4" cm="1">
        <f t="array" ref="I7">_xlfn.IFS(G7&gt;=95,4,G7&gt;=90,3.67,G7&gt;=85,3.33,G7&gt;=80,3,G7&gt;=75,2.67,G7&gt;=70,2.33,G7&gt;=65,2,G7&gt;=60,1.67,G7&gt;=55,1.33,G7&gt;=50,1,G7&gt;=25,0.5,G7&gt;=0,0)</f>
        <v>3</v>
      </c>
      <c r="J7" s="4" t="s">
        <v>170</v>
      </c>
      <c r="K7" s="4" t="s">
        <v>170</v>
      </c>
      <c r="L7" s="4" t="s">
        <v>170</v>
      </c>
      <c r="M7" s="4" t="s">
        <v>137</v>
      </c>
      <c r="N7" s="3">
        <v>20</v>
      </c>
      <c r="O7" s="4" t="s">
        <v>141</v>
      </c>
      <c r="P7" s="4" t="s">
        <v>160</v>
      </c>
    </row>
    <row r="8" spans="1:16" ht="28" x14ac:dyDescent="0.2">
      <c r="A8" s="3">
        <v>7</v>
      </c>
      <c r="B8" s="3">
        <v>2</v>
      </c>
      <c r="C8" s="4" t="s">
        <v>21</v>
      </c>
      <c r="D8" s="4" t="s">
        <v>116</v>
      </c>
      <c r="E8" s="4" t="s">
        <v>185</v>
      </c>
      <c r="F8" s="14" t="s">
        <v>194</v>
      </c>
      <c r="G8" s="4">
        <v>70</v>
      </c>
      <c r="H8" s="4" t="str" cm="1">
        <f t="array" ref="H8">_xlfn.IFS(G8&gt;=95,"A",G8&gt;=90,"A-",G8&gt;=85,"B+",G8&gt;=80,"B",G8&gt;=75,"B-",G8&gt;=70,"C+",G8&gt;=65,"C",G8&gt;=60,"C-",G8&gt;=55,"D+",G8&gt;=50,"D",G8&gt;=25,"FX",G8&gt;=0,"F")</f>
        <v>C+</v>
      </c>
      <c r="I8" s="4" cm="1">
        <f t="array" ref="I8">_xlfn.IFS(G8&gt;=95,4,G8&gt;=90,3.67,G8&gt;=85,3.33,G8&gt;=80,3,G8&gt;=75,2.67,G8&gt;=70,2.33,G8&gt;=65,2,G8&gt;=60,1.67,G8&gt;=55,1.33,G8&gt;=50,1,G8&gt;=25,0.5,G8&gt;=0,0)</f>
        <v>2.33</v>
      </c>
      <c r="J8" s="4" t="s">
        <v>170</v>
      </c>
      <c r="K8" s="4" t="s">
        <v>170</v>
      </c>
      <c r="L8" s="4" t="s">
        <v>170</v>
      </c>
      <c r="M8" s="4" t="s">
        <v>137</v>
      </c>
      <c r="N8" s="3">
        <v>16</v>
      </c>
      <c r="O8" s="4" t="s">
        <v>167</v>
      </c>
      <c r="P8" s="4" t="s">
        <v>159</v>
      </c>
    </row>
    <row r="9" spans="1:16" ht="56" x14ac:dyDescent="0.2">
      <c r="A9" s="3">
        <v>8</v>
      </c>
      <c r="B9" s="3">
        <v>2</v>
      </c>
      <c r="C9" s="4" t="s">
        <v>21</v>
      </c>
      <c r="D9" s="4" t="s">
        <v>116</v>
      </c>
      <c r="E9" s="4" t="s">
        <v>12</v>
      </c>
      <c r="F9" s="14" t="s">
        <v>195</v>
      </c>
      <c r="G9" s="4">
        <v>90</v>
      </c>
      <c r="H9" s="4" t="str" cm="1">
        <f t="array" ref="H9">_xlfn.IFS(G9&gt;=95,"A",G9&gt;=90,"A-",G9&gt;=85,"B+",G9&gt;=80,"B",G9&gt;=75,"B-",G9&gt;=70,"C+",G9&gt;=65,"C",G9&gt;=60,"C-",G9&gt;=55,"D+",G9&gt;=50,"D",G9&gt;=25,"FX",G9&gt;=0,"F")</f>
        <v>A-</v>
      </c>
      <c r="I9" s="4" cm="1">
        <f t="array" ref="I9">_xlfn.IFS(G9&gt;=95,4,G9&gt;=90,3.67,G9&gt;=85,3.33,G9&gt;=80,3,G9&gt;=75,2.67,G9&gt;=70,2.33,G9&gt;=65,2,G9&gt;=60,1.67,G9&gt;=55,1.33,G9&gt;=50,1,G9&gt;=25,0.5,G9&gt;=0,0)</f>
        <v>3.67</v>
      </c>
      <c r="J9" s="4" t="s">
        <v>170</v>
      </c>
      <c r="K9" s="4" t="s">
        <v>170</v>
      </c>
      <c r="L9" s="4" t="s">
        <v>170</v>
      </c>
      <c r="M9" s="4" t="s">
        <v>137</v>
      </c>
      <c r="N9" s="3">
        <v>14</v>
      </c>
      <c r="O9" s="4" t="s">
        <v>163</v>
      </c>
      <c r="P9" s="4" t="s">
        <v>161</v>
      </c>
    </row>
    <row r="10" spans="1:16" ht="56" x14ac:dyDescent="0.2">
      <c r="A10" s="3">
        <v>9</v>
      </c>
      <c r="B10" s="3">
        <v>2</v>
      </c>
      <c r="C10" s="4" t="s">
        <v>21</v>
      </c>
      <c r="D10" s="4" t="s">
        <v>116</v>
      </c>
      <c r="E10" s="4" t="s">
        <v>13</v>
      </c>
      <c r="F10" s="14" t="s">
        <v>196</v>
      </c>
      <c r="G10" s="4">
        <v>70</v>
      </c>
      <c r="H10" s="4" t="str" cm="1">
        <f t="array" ref="H10">_xlfn.IFS(G10&gt;=95,"A",G10&gt;=90,"A-",G10&gt;=85,"B+",G10&gt;=80,"B",G10&gt;=75,"B-",G10&gt;=70,"C+",G10&gt;=65,"C",G10&gt;=60,"C-",G10&gt;=55,"D+",G10&gt;=50,"D",G10&gt;=25,"FX",G10&gt;=0,"F")</f>
        <v>C+</v>
      </c>
      <c r="I10" s="4" cm="1">
        <f t="array" ref="I10">_xlfn.IFS(G10&gt;=95,4,G10&gt;=90,3.67,G10&gt;=85,3.33,G10&gt;=80,3,G10&gt;=75,2.67,G10&gt;=70,2.33,G10&gt;=65,2,G10&gt;=60,1.67,G10&gt;=55,1.33,G10&gt;=50,1,G10&gt;=25,0.5,G10&gt;=0,0)</f>
        <v>2.33</v>
      </c>
      <c r="J10" s="4" t="s">
        <v>171</v>
      </c>
      <c r="K10" s="4" t="s">
        <v>171</v>
      </c>
      <c r="L10" s="4" t="s">
        <v>171</v>
      </c>
      <c r="M10" s="4" t="s">
        <v>137</v>
      </c>
      <c r="N10" s="3">
        <v>14</v>
      </c>
      <c r="O10" s="4" t="s">
        <v>141</v>
      </c>
      <c r="P10" s="4" t="s">
        <v>161</v>
      </c>
    </row>
    <row r="11" spans="1:16" ht="56" x14ac:dyDescent="0.2">
      <c r="A11" s="3">
        <v>10</v>
      </c>
      <c r="B11" s="3">
        <v>2</v>
      </c>
      <c r="C11" s="4" t="s">
        <v>21</v>
      </c>
      <c r="D11" s="4" t="s">
        <v>116</v>
      </c>
      <c r="E11" s="4" t="s">
        <v>14</v>
      </c>
      <c r="F11" s="14" t="s">
        <v>197</v>
      </c>
      <c r="G11" s="4">
        <v>90</v>
      </c>
      <c r="H11" s="4" t="str" cm="1">
        <f t="array" ref="H11">_xlfn.IFS(G11&gt;=95,"A",G11&gt;=90,"A-",G11&gt;=85,"B+",G11&gt;=80,"B",G11&gt;=75,"B-",G11&gt;=70,"C+",G11&gt;=65,"C",G11&gt;=60,"C-",G11&gt;=55,"D+",G11&gt;=50,"D",G11&gt;=25,"FX",G11&gt;=0,"F")</f>
        <v>A-</v>
      </c>
      <c r="I11" s="4" cm="1">
        <f t="array" ref="I11">_xlfn.IFS(G11&gt;=95,4,G11&gt;=90,3.67,G11&gt;=85,3.33,G11&gt;=80,3,G11&gt;=75,2.67,G11&gt;=70,2.33,G11&gt;=65,2,G11&gt;=60,1.67,G11&gt;=55,1.33,G11&gt;=50,1,G11&gt;=25,0.5,G11&gt;=0,0)</f>
        <v>3.67</v>
      </c>
      <c r="J11" s="4" t="s">
        <v>170</v>
      </c>
      <c r="K11" s="4" t="s">
        <v>170</v>
      </c>
      <c r="L11" s="4" t="s">
        <v>170</v>
      </c>
      <c r="M11" s="4" t="s">
        <v>137</v>
      </c>
      <c r="N11" s="3">
        <v>16</v>
      </c>
      <c r="O11" s="4" t="s">
        <v>163</v>
      </c>
      <c r="P11" s="4" t="s">
        <v>159</v>
      </c>
    </row>
    <row r="12" spans="1:16" ht="56" x14ac:dyDescent="0.2">
      <c r="A12" s="3">
        <v>11</v>
      </c>
      <c r="B12" s="3">
        <v>2</v>
      </c>
      <c r="C12" s="4" t="s">
        <v>21</v>
      </c>
      <c r="D12" s="4" t="s">
        <v>116</v>
      </c>
      <c r="E12" s="4" t="s">
        <v>15</v>
      </c>
      <c r="F12" s="14" t="s">
        <v>198</v>
      </c>
      <c r="G12" s="4">
        <v>75</v>
      </c>
      <c r="H12" s="4" t="str" cm="1">
        <f t="array" ref="H12">_xlfn.IFS(G12&gt;=95,"A",G12&gt;=90,"A-",G12&gt;=85,"B+",G12&gt;=80,"B",G12&gt;=75,"B-",G12&gt;=70,"C+",G12&gt;=65,"C",G12&gt;=60,"C-",G12&gt;=55,"D+",G12&gt;=50,"D",G12&gt;=25,"FX",G12&gt;=0,"F")</f>
        <v>B-</v>
      </c>
      <c r="I12" s="4" cm="1">
        <f t="array" ref="I12">_xlfn.IFS(G12&gt;=95,4,G12&gt;=90,3.67,G12&gt;=85,3.33,G12&gt;=80,3,G12&gt;=75,2.67,G12&gt;=70,2.33,G12&gt;=65,2,G12&gt;=60,1.67,G12&gt;=55,1.33,G12&gt;=50,1,G12&gt;=25,0.5,G12&gt;=0,0)</f>
        <v>2.67</v>
      </c>
      <c r="J12" s="4" t="s">
        <v>170</v>
      </c>
      <c r="K12" s="4" t="s">
        <v>170</v>
      </c>
      <c r="L12" s="4" t="s">
        <v>170</v>
      </c>
      <c r="M12" s="4" t="s">
        <v>137</v>
      </c>
      <c r="N12" s="3">
        <v>33</v>
      </c>
      <c r="O12" s="4" t="s">
        <v>141</v>
      </c>
      <c r="P12" s="4" t="s">
        <v>159</v>
      </c>
    </row>
    <row r="13" spans="1:16" ht="56" x14ac:dyDescent="0.2">
      <c r="A13" s="3">
        <v>12</v>
      </c>
      <c r="B13" s="3">
        <v>2</v>
      </c>
      <c r="C13" s="4" t="s">
        <v>21</v>
      </c>
      <c r="D13" s="4" t="s">
        <v>116</v>
      </c>
      <c r="E13" s="4" t="s">
        <v>186</v>
      </c>
      <c r="F13" s="14" t="s">
        <v>199</v>
      </c>
      <c r="G13" s="4">
        <v>81</v>
      </c>
      <c r="H13" s="4" t="str" cm="1">
        <f t="array" ref="H13">_xlfn.IFS(G13&gt;=95,"A",G13&gt;=90,"A-",G13&gt;=85,"B+",G13&gt;=80,"B",G13&gt;=75,"B-",G13&gt;=70,"C+",G13&gt;=65,"C",G13&gt;=60,"C-",G13&gt;=55,"D+",G13&gt;=50,"D",G13&gt;=25,"FX",G13&gt;=0,"F")</f>
        <v>B</v>
      </c>
      <c r="I13" s="4" cm="1">
        <f t="array" ref="I13">_xlfn.IFS(G13&gt;=95,4,G13&gt;=90,3.67,G13&gt;=85,3.33,G13&gt;=80,3,G13&gt;=75,2.67,G13&gt;=70,2.33,G13&gt;=65,2,G13&gt;=60,1.67,G13&gt;=55,1.33,G13&gt;=50,1,G13&gt;=25,0.5,G13&gt;=0,0)</f>
        <v>3</v>
      </c>
      <c r="J13" s="4" t="s">
        <v>170</v>
      </c>
      <c r="K13" s="4" t="s">
        <v>170</v>
      </c>
      <c r="L13" s="4" t="s">
        <v>170</v>
      </c>
      <c r="M13" s="4" t="s">
        <v>137</v>
      </c>
      <c r="N13" s="3">
        <v>16</v>
      </c>
      <c r="O13" s="4" t="s">
        <v>144</v>
      </c>
      <c r="P13" s="4" t="s">
        <v>159</v>
      </c>
    </row>
    <row r="14" spans="1:16" ht="28" x14ac:dyDescent="0.2">
      <c r="A14" s="3">
        <v>13</v>
      </c>
      <c r="B14" s="3">
        <v>2</v>
      </c>
      <c r="C14" s="4" t="s">
        <v>21</v>
      </c>
      <c r="D14" s="4" t="s">
        <v>116</v>
      </c>
      <c r="E14" s="4" t="s">
        <v>17</v>
      </c>
      <c r="F14" s="14" t="s">
        <v>200</v>
      </c>
      <c r="G14" s="4">
        <v>95</v>
      </c>
      <c r="H14" s="4" t="str" cm="1">
        <f t="array" ref="H14">_xlfn.IFS(G14&gt;=95,"A",G14&gt;=90,"A-",G14&gt;=85,"B+",G14&gt;=80,"B",G14&gt;=75,"B-",G14&gt;=70,"C+",G14&gt;=65,"C",G14&gt;=60,"C-",G14&gt;=55,"D+",G14&gt;=50,"D",G14&gt;=25,"FX",G14&gt;=0,"F")</f>
        <v>A</v>
      </c>
      <c r="I14" s="4" cm="1">
        <f t="array" ref="I14">_xlfn.IFS(G14&gt;=95,4,G14&gt;=90,3.67,G14&gt;=85,3.33,G14&gt;=80,3,G14&gt;=75,2.67,G14&gt;=70,2.33,G14&gt;=65,2,G14&gt;=60,1.67,G14&gt;=55,1.33,G14&gt;=50,1,G14&gt;=25,0.5,G14&gt;=0,0)</f>
        <v>4</v>
      </c>
      <c r="J14" s="4" t="s">
        <v>170</v>
      </c>
      <c r="K14" s="4" t="s">
        <v>170</v>
      </c>
      <c r="L14" s="4" t="s">
        <v>170</v>
      </c>
      <c r="M14" s="4" t="s">
        <v>137</v>
      </c>
      <c r="N14" s="3">
        <v>21</v>
      </c>
      <c r="O14" s="4" t="s">
        <v>134</v>
      </c>
      <c r="P14" s="4" t="s">
        <v>159</v>
      </c>
    </row>
    <row r="15" spans="1:16" ht="56" x14ac:dyDescent="0.2">
      <c r="A15" s="3">
        <v>14</v>
      </c>
      <c r="B15" s="3">
        <v>2</v>
      </c>
      <c r="C15" s="4" t="s">
        <v>21</v>
      </c>
      <c r="D15" s="4" t="s">
        <v>116</v>
      </c>
      <c r="E15" s="4" t="s">
        <v>18</v>
      </c>
      <c r="F15" s="14" t="s">
        <v>201</v>
      </c>
      <c r="G15" s="4">
        <v>80</v>
      </c>
      <c r="H15" s="4" t="str" cm="1">
        <f t="array" ref="H15">_xlfn.IFS(G15&gt;=95,"A",G15&gt;=90,"A-",G15&gt;=85,"B+",G15&gt;=80,"B",G15&gt;=75,"B-",G15&gt;=70,"C+",G15&gt;=65,"C",G15&gt;=60,"C-",G15&gt;=55,"D+",G15&gt;=50,"D",G15&gt;=25,"FX",G15&gt;=0,"F")</f>
        <v>B</v>
      </c>
      <c r="I15" s="4" cm="1">
        <f t="array" ref="I15">_xlfn.IFS(G15&gt;=95,4,G15&gt;=90,3.67,G15&gt;=85,3.33,G15&gt;=80,3,G15&gt;=75,2.67,G15&gt;=70,2.33,G15&gt;=65,2,G15&gt;=60,1.67,G15&gt;=55,1.33,G15&gt;=50,1,G15&gt;=25,0.5,G15&gt;=0,0)</f>
        <v>3</v>
      </c>
      <c r="J15" s="4" t="s">
        <v>170</v>
      </c>
      <c r="K15" s="4" t="s">
        <v>170</v>
      </c>
      <c r="L15" s="4" t="s">
        <v>170</v>
      </c>
      <c r="M15" s="4" t="s">
        <v>138</v>
      </c>
      <c r="N15" s="3">
        <v>17</v>
      </c>
      <c r="O15" s="4" t="s">
        <v>144</v>
      </c>
      <c r="P15" s="4" t="s">
        <v>159</v>
      </c>
    </row>
    <row r="16" spans="1:16" ht="28" x14ac:dyDescent="0.2">
      <c r="A16" s="3">
        <v>15</v>
      </c>
      <c r="B16" s="3">
        <v>2</v>
      </c>
      <c r="C16" s="4" t="s">
        <v>21</v>
      </c>
      <c r="D16" s="4" t="s">
        <v>116</v>
      </c>
      <c r="E16" s="4" t="s">
        <v>187</v>
      </c>
      <c r="F16" s="14" t="s">
        <v>202</v>
      </c>
      <c r="G16" s="4">
        <v>90</v>
      </c>
      <c r="H16" s="4" t="str" cm="1">
        <f t="array" ref="H16">_xlfn.IFS(G16&gt;=95,"A",G16&gt;=90,"A-",G16&gt;=85,"B+",G16&gt;=80,"B",G16&gt;=75,"B-",G16&gt;=70,"C+",G16&gt;=65,"C",G16&gt;=60,"C-",G16&gt;=55,"D+",G16&gt;=50,"D",G16&gt;=25,"FX",G16&gt;=0,"F")</f>
        <v>A-</v>
      </c>
      <c r="I16" s="4" cm="1">
        <f t="array" ref="I16">_xlfn.IFS(G16&gt;=95,4,G16&gt;=90,3.67,G16&gt;=85,3.33,G16&gt;=80,3,G16&gt;=75,2.67,G16&gt;=70,2.33,G16&gt;=65,2,G16&gt;=60,1.67,G16&gt;=55,1.33,G16&gt;=50,1,G16&gt;=25,0.5,G16&gt;=0,0)</f>
        <v>3.67</v>
      </c>
      <c r="J16" s="4" t="s">
        <v>170</v>
      </c>
      <c r="K16" s="4" t="s">
        <v>170</v>
      </c>
      <c r="L16" s="4" t="s">
        <v>170</v>
      </c>
      <c r="M16" s="4" t="s">
        <v>137</v>
      </c>
      <c r="N16" s="3">
        <v>15</v>
      </c>
      <c r="O16" s="4" t="s">
        <v>134</v>
      </c>
      <c r="P16" s="4" t="s">
        <v>159</v>
      </c>
    </row>
    <row r="17" spans="1:16" ht="28" x14ac:dyDescent="0.2">
      <c r="A17" s="3">
        <v>16</v>
      </c>
      <c r="B17" s="3">
        <v>3</v>
      </c>
      <c r="C17" s="4" t="s">
        <v>33</v>
      </c>
      <c r="D17" s="4" t="s">
        <v>117</v>
      </c>
      <c r="E17" s="4" t="s">
        <v>22</v>
      </c>
      <c r="F17" s="14" t="s">
        <v>203</v>
      </c>
      <c r="G17" s="4">
        <v>95</v>
      </c>
      <c r="H17" s="4" t="str" cm="1">
        <f t="array" ref="H17">_xlfn.IFS(G17&gt;=95,"A",G17&gt;=90,"A-",G17&gt;=85,"B+",G17&gt;=80,"B",G17&gt;=75,"B-",G17&gt;=70,"C+",G17&gt;=65,"C",G17&gt;=60,"C-",G17&gt;=55,"D+",G17&gt;=50,"D",G17&gt;=25,"FX",G17&gt;=0,"F")</f>
        <v>A</v>
      </c>
      <c r="I17" s="4" cm="1">
        <f t="array" ref="I17">_xlfn.IFS(G17&gt;=95,4,G17&gt;=90,3.67,G17&gt;=85,3.33,G17&gt;=80,3,G17&gt;=75,2.67,G17&gt;=70,2.33,G17&gt;=65,2,G17&gt;=60,1.67,G17&gt;=55,1.33,G17&gt;=50,1,G17&gt;=25,0.5,G17&gt;=0,0)</f>
        <v>4</v>
      </c>
      <c r="J17" s="4" t="s">
        <v>170</v>
      </c>
      <c r="K17" s="4" t="s">
        <v>171</v>
      </c>
      <c r="L17" s="4" t="s">
        <v>171</v>
      </c>
      <c r="M17" s="4" t="s">
        <v>137</v>
      </c>
      <c r="N17" s="3">
        <v>17</v>
      </c>
      <c r="O17" s="4" t="s">
        <v>128</v>
      </c>
      <c r="P17" s="4" t="s">
        <v>159</v>
      </c>
    </row>
    <row r="18" spans="1:16" ht="28" x14ac:dyDescent="0.2">
      <c r="A18" s="3">
        <v>17</v>
      </c>
      <c r="B18" s="3">
        <v>3</v>
      </c>
      <c r="C18" s="4" t="s">
        <v>33</v>
      </c>
      <c r="D18" s="4" t="s">
        <v>117</v>
      </c>
      <c r="E18" s="4" t="s">
        <v>23</v>
      </c>
      <c r="F18" s="14" t="s">
        <v>204</v>
      </c>
      <c r="G18" s="4">
        <v>95</v>
      </c>
      <c r="H18" s="4" t="str" cm="1">
        <f t="array" ref="H18">_xlfn.IFS(G18&gt;=95,"A",G18&gt;=90,"A-",G18&gt;=85,"B+",G18&gt;=80,"B",G18&gt;=75,"B-",G18&gt;=70,"C+",G18&gt;=65,"C",G18&gt;=60,"C-",G18&gt;=55,"D+",G18&gt;=50,"D",G18&gt;=25,"FX",G18&gt;=0,"F")</f>
        <v>A</v>
      </c>
      <c r="I18" s="4" cm="1">
        <f t="array" ref="I18">_xlfn.IFS(G18&gt;=95,4,G18&gt;=90,3.67,G18&gt;=85,3.33,G18&gt;=80,3,G18&gt;=75,2.67,G18&gt;=70,2.33,G18&gt;=65,2,G18&gt;=60,1.67,G18&gt;=55,1.33,G18&gt;=50,1,G18&gt;=25,0.5,G18&gt;=0,0)</f>
        <v>4</v>
      </c>
      <c r="J18" s="4" t="s">
        <v>170</v>
      </c>
      <c r="K18" s="4" t="s">
        <v>171</v>
      </c>
      <c r="L18" s="4" t="s">
        <v>171</v>
      </c>
      <c r="M18" s="4" t="s">
        <v>137</v>
      </c>
      <c r="N18" s="3">
        <v>24</v>
      </c>
      <c r="O18" s="4" t="s">
        <v>128</v>
      </c>
      <c r="P18" s="4" t="s">
        <v>159</v>
      </c>
    </row>
    <row r="19" spans="1:16" ht="28" x14ac:dyDescent="0.2">
      <c r="A19" s="3">
        <v>18</v>
      </c>
      <c r="B19" s="3">
        <v>3</v>
      </c>
      <c r="C19" s="4" t="s">
        <v>33</v>
      </c>
      <c r="D19" s="4" t="s">
        <v>117</v>
      </c>
      <c r="E19" s="4" t="s">
        <v>24</v>
      </c>
      <c r="F19" s="14" t="s">
        <v>205</v>
      </c>
      <c r="G19" s="6" t="s">
        <v>166</v>
      </c>
      <c r="H19" s="4" t="str" cm="1">
        <f t="array" ref="H19">_xlfn.IFS(G19&gt;=95,"A",G19&gt;=90,"A-",G19&gt;=85,"B+",G19&gt;=80,"B",G19&gt;=75,"B-",G19&gt;=70,"C+",G19&gt;=65,"C",G19&gt;=60,"C-",G19&gt;=55,"D+",G19&gt;=50,"D",G19&gt;=25,"FX",G19&gt;=0,"F")</f>
        <v>A</v>
      </c>
      <c r="I19" s="4" cm="1">
        <f t="array" ref="I19">_xlfn.IFS(G19&gt;=95,4,G19&gt;=90,3.67,G19&gt;=85,3.33,G19&gt;=80,3,G19&gt;=75,2.67,G19&gt;=70,2.33,G19&gt;=65,2,G19&gt;=60,1.67,G19&gt;=55,1.33,G19&gt;=50,1,G19&gt;=25,0.5,G19&gt;=0,0)</f>
        <v>4</v>
      </c>
      <c r="J19" s="6" t="s">
        <v>169</v>
      </c>
      <c r="K19" s="6" t="s">
        <v>169</v>
      </c>
      <c r="L19" s="6" t="s">
        <v>169</v>
      </c>
      <c r="M19" s="4"/>
      <c r="N19" s="3"/>
      <c r="O19" s="4"/>
      <c r="P19" s="4"/>
    </row>
    <row r="20" spans="1:16" ht="28" x14ac:dyDescent="0.2">
      <c r="A20" s="3">
        <v>19</v>
      </c>
      <c r="B20" s="3">
        <v>3</v>
      </c>
      <c r="C20" s="4" t="s">
        <v>33</v>
      </c>
      <c r="D20" s="4" t="s">
        <v>117</v>
      </c>
      <c r="E20" s="4" t="s">
        <v>25</v>
      </c>
      <c r="F20" s="14" t="s">
        <v>206</v>
      </c>
      <c r="G20" s="4">
        <v>90</v>
      </c>
      <c r="H20" s="4" t="str" cm="1">
        <f t="array" ref="H20">_xlfn.IFS(G20&gt;=95,"A",G20&gt;=90,"A-",G20&gt;=85,"B+",G20&gt;=80,"B",G20&gt;=75,"B-",G20&gt;=70,"C+",G20&gt;=65,"C",G20&gt;=60,"C-",G20&gt;=55,"D+",G20&gt;=50,"D",G20&gt;=25,"FX",G20&gt;=0,"F")</f>
        <v>A-</v>
      </c>
      <c r="I20" s="4" cm="1">
        <f t="array" ref="I20">_xlfn.IFS(G20&gt;=95,4,G20&gt;=90,3.67,G20&gt;=85,3.33,G20&gt;=80,3,G20&gt;=75,2.67,G20&gt;=70,2.33,G20&gt;=65,2,G20&gt;=60,1.67,G20&gt;=55,1.33,G20&gt;=50,1,G20&gt;=25,0.5,G20&gt;=0,0)</f>
        <v>3.67</v>
      </c>
      <c r="J20" s="4" t="s">
        <v>170</v>
      </c>
      <c r="K20" s="4" t="s">
        <v>170</v>
      </c>
      <c r="L20" s="4" t="s">
        <v>170</v>
      </c>
      <c r="M20" s="4" t="s">
        <v>137</v>
      </c>
      <c r="N20" s="3">
        <v>12</v>
      </c>
      <c r="O20" s="4" t="s">
        <v>134</v>
      </c>
      <c r="P20" s="4" t="s">
        <v>159</v>
      </c>
    </row>
    <row r="21" spans="1:16" ht="98" x14ac:dyDescent="0.2">
      <c r="A21" s="3">
        <v>20</v>
      </c>
      <c r="B21" s="3">
        <v>3</v>
      </c>
      <c r="C21" s="4" t="s">
        <v>33</v>
      </c>
      <c r="D21" s="4" t="s">
        <v>117</v>
      </c>
      <c r="E21" s="4" t="s">
        <v>26</v>
      </c>
      <c r="F21" s="14" t="s">
        <v>207</v>
      </c>
      <c r="G21" s="4">
        <v>20</v>
      </c>
      <c r="H21" s="4" t="str" cm="1">
        <f t="array" ref="H21">_xlfn.IFS(G21&gt;=95,"A",G21&gt;=90,"A-",G21&gt;=85,"B+",G21&gt;=80,"B",G21&gt;=75,"B-",G21&gt;=70,"C+",G21&gt;=65,"C",G21&gt;=60,"C-",G21&gt;=55,"D+",G21&gt;=50,"D",G21&gt;=25,"FX",G21&gt;=0,"F")</f>
        <v>F</v>
      </c>
      <c r="I21" s="4" cm="1">
        <f t="array" ref="I21">_xlfn.IFS(G21&gt;=95,4,G21&gt;=90,3.67,G21&gt;=85,3.33,G21&gt;=80,3,G21&gt;=75,2.67,G21&gt;=70,2.33,G21&gt;=65,2,G21&gt;=60,1.67,G21&gt;=55,1.33,G21&gt;=50,1,G21&gt;=25,0.5,G21&gt;=0,0)</f>
        <v>0</v>
      </c>
      <c r="J21" s="4" t="s">
        <v>171</v>
      </c>
      <c r="K21" s="4" t="s">
        <v>176</v>
      </c>
      <c r="L21" s="4" t="s">
        <v>181</v>
      </c>
      <c r="M21" s="4" t="s">
        <v>139</v>
      </c>
      <c r="N21" s="3">
        <v>2</v>
      </c>
      <c r="O21" s="4" t="s">
        <v>132</v>
      </c>
      <c r="P21" s="4" t="s">
        <v>132</v>
      </c>
    </row>
    <row r="22" spans="1:16" ht="28" x14ac:dyDescent="0.2">
      <c r="A22" s="3">
        <v>21</v>
      </c>
      <c r="B22" s="3">
        <v>3</v>
      </c>
      <c r="C22" s="4" t="s">
        <v>33</v>
      </c>
      <c r="D22" s="4" t="s">
        <v>117</v>
      </c>
      <c r="E22" s="4" t="s">
        <v>27</v>
      </c>
      <c r="F22" s="14" t="s">
        <v>208</v>
      </c>
      <c r="G22" s="4">
        <v>80</v>
      </c>
      <c r="H22" s="4" t="str" cm="1">
        <f t="array" ref="H22">_xlfn.IFS(G22&gt;=95,"A",G22&gt;=90,"A-",G22&gt;=85,"B+",G22&gt;=80,"B",G22&gt;=75,"B-",G22&gt;=70,"C+",G22&gt;=65,"C",G22&gt;=60,"C-",G22&gt;=55,"D+",G22&gt;=50,"D",G22&gt;=25,"FX",G22&gt;=0,"F")</f>
        <v>B</v>
      </c>
      <c r="I22" s="4" cm="1">
        <f t="array" ref="I22">_xlfn.IFS(G22&gt;=95,4,G22&gt;=90,3.67,G22&gt;=85,3.33,G22&gt;=80,3,G22&gt;=75,2.67,G22&gt;=70,2.33,G22&gt;=65,2,G22&gt;=60,1.67,G22&gt;=55,1.33,G22&gt;=50,1,G22&gt;=25,0.5,G22&gt;=0,0)</f>
        <v>3</v>
      </c>
      <c r="J22" s="4" t="s">
        <v>171</v>
      </c>
      <c r="K22" s="4" t="s">
        <v>171</v>
      </c>
      <c r="L22" s="4" t="s">
        <v>171</v>
      </c>
      <c r="M22" s="4" t="s">
        <v>137</v>
      </c>
      <c r="N22" s="3">
        <v>15</v>
      </c>
      <c r="O22" s="4" t="s">
        <v>142</v>
      </c>
      <c r="P22" s="4" t="s">
        <v>159</v>
      </c>
    </row>
    <row r="23" spans="1:16" ht="56" x14ac:dyDescent="0.2">
      <c r="A23" s="3">
        <v>22</v>
      </c>
      <c r="B23" s="3">
        <v>3</v>
      </c>
      <c r="C23" s="4" t="s">
        <v>33</v>
      </c>
      <c r="D23" s="4" t="s">
        <v>117</v>
      </c>
      <c r="E23" s="4" t="s">
        <v>28</v>
      </c>
      <c r="F23" s="14" t="s">
        <v>209</v>
      </c>
      <c r="G23" s="4">
        <v>90</v>
      </c>
      <c r="H23" s="4" t="str" cm="1">
        <f t="array" ref="H23">_xlfn.IFS(G23&gt;=95,"A",G23&gt;=90,"A-",G23&gt;=85,"B+",G23&gt;=80,"B",G23&gt;=75,"B-",G23&gt;=70,"C+",G23&gt;=65,"C",G23&gt;=60,"C-",G23&gt;=55,"D+",G23&gt;=50,"D",G23&gt;=25,"FX",G23&gt;=0,"F")</f>
        <v>A-</v>
      </c>
      <c r="I23" s="4" cm="1">
        <f t="array" ref="I23">_xlfn.IFS(G23&gt;=95,4,G23&gt;=90,3.67,G23&gt;=85,3.33,G23&gt;=80,3,G23&gt;=75,2.67,G23&gt;=70,2.33,G23&gt;=65,2,G23&gt;=60,1.67,G23&gt;=55,1.33,G23&gt;=50,1,G23&gt;=25,0.5,G23&gt;=0,0)</f>
        <v>3.67</v>
      </c>
      <c r="J23" s="4" t="s">
        <v>171</v>
      </c>
      <c r="K23" s="4" t="s">
        <v>171</v>
      </c>
      <c r="L23" s="4" t="s">
        <v>171</v>
      </c>
      <c r="M23" s="4" t="s">
        <v>137</v>
      </c>
      <c r="N23" s="3">
        <v>16</v>
      </c>
      <c r="O23" s="4" t="s">
        <v>143</v>
      </c>
      <c r="P23" s="4" t="s">
        <v>159</v>
      </c>
    </row>
    <row r="24" spans="1:16" ht="56" x14ac:dyDescent="0.2">
      <c r="A24" s="3">
        <v>23</v>
      </c>
      <c r="B24" s="3">
        <v>3</v>
      </c>
      <c r="C24" s="4" t="s">
        <v>33</v>
      </c>
      <c r="D24" s="4" t="s">
        <v>117</v>
      </c>
      <c r="E24" s="4" t="s">
        <v>29</v>
      </c>
      <c r="F24" s="14" t="s">
        <v>210</v>
      </c>
      <c r="G24" s="4">
        <v>70</v>
      </c>
      <c r="H24" s="4" t="str" cm="1">
        <f t="array" ref="H24">_xlfn.IFS(G24&gt;=95,"A",G24&gt;=90,"A-",G24&gt;=85,"B+",G24&gt;=80,"B",G24&gt;=75,"B-",G24&gt;=70,"C+",G24&gt;=65,"C",G24&gt;=60,"C-",G24&gt;=55,"D+",G24&gt;=50,"D",G24&gt;=25,"FX",G24&gt;=0,"F")</f>
        <v>C+</v>
      </c>
      <c r="I24" s="4" cm="1">
        <f t="array" ref="I24">_xlfn.IFS(G24&gt;=95,4,G24&gt;=90,3.67,G24&gt;=85,3.33,G24&gt;=80,3,G24&gt;=75,2.67,G24&gt;=70,2.33,G24&gt;=65,2,G24&gt;=60,1.67,G24&gt;=55,1.33,G24&gt;=50,1,G24&gt;=25,0.5,G24&gt;=0,0)</f>
        <v>2.33</v>
      </c>
      <c r="J24" s="4" t="s">
        <v>171</v>
      </c>
      <c r="K24" s="4" t="s">
        <v>171</v>
      </c>
      <c r="L24" s="4" t="s">
        <v>171</v>
      </c>
      <c r="M24" s="4" t="s">
        <v>137</v>
      </c>
      <c r="N24" s="3">
        <v>13</v>
      </c>
      <c r="O24" s="4" t="s">
        <v>143</v>
      </c>
      <c r="P24" s="4" t="s">
        <v>159</v>
      </c>
    </row>
    <row r="25" spans="1:16" ht="182" x14ac:dyDescent="0.2">
      <c r="A25" s="3">
        <v>24</v>
      </c>
      <c r="B25" s="3">
        <v>3</v>
      </c>
      <c r="C25" s="4" t="s">
        <v>33</v>
      </c>
      <c r="D25" s="4" t="s">
        <v>117</v>
      </c>
      <c r="E25" s="4" t="s">
        <v>30</v>
      </c>
      <c r="F25" s="14" t="s">
        <v>211</v>
      </c>
      <c r="G25" s="6" t="s">
        <v>166</v>
      </c>
      <c r="H25" s="4" t="str" cm="1">
        <f t="array" ref="H25">_xlfn.IFS(G25&gt;=95,"A",G25&gt;=90,"A-",G25&gt;=85,"B+",G25&gt;=80,"B",G25&gt;=75,"B-",G25&gt;=70,"C+",G25&gt;=65,"C",G25&gt;=60,"C-",G25&gt;=55,"D+",G25&gt;=50,"D",G25&gt;=25,"FX",G25&gt;=0,"F")</f>
        <v>A</v>
      </c>
      <c r="I25" s="4" cm="1">
        <f t="array" ref="I25">_xlfn.IFS(G25&gt;=95,4,G25&gt;=90,3.67,G25&gt;=85,3.33,G25&gt;=80,3,G25&gt;=75,2.67,G25&gt;=70,2.33,G25&gt;=65,2,G25&gt;=60,1.67,G25&gt;=55,1.33,G25&gt;=50,1,G25&gt;=25,0.5,G25&gt;=0,0)</f>
        <v>4</v>
      </c>
      <c r="J25" s="4" t="s">
        <v>171</v>
      </c>
      <c r="K25" s="4" t="s">
        <v>177</v>
      </c>
      <c r="L25" s="4" t="s">
        <v>171</v>
      </c>
      <c r="M25" s="4" t="s">
        <v>139</v>
      </c>
      <c r="N25" s="3">
        <v>9</v>
      </c>
      <c r="O25" s="4" t="s">
        <v>141</v>
      </c>
      <c r="P25" s="4" t="s">
        <v>168</v>
      </c>
    </row>
    <row r="26" spans="1:16" ht="56" x14ac:dyDescent="0.2">
      <c r="A26" s="3">
        <v>25</v>
      </c>
      <c r="B26" s="3">
        <v>3</v>
      </c>
      <c r="C26" s="4" t="s">
        <v>33</v>
      </c>
      <c r="D26" s="4" t="s">
        <v>117</v>
      </c>
      <c r="E26" s="4" t="s">
        <v>31</v>
      </c>
      <c r="F26" s="14" t="s">
        <v>212</v>
      </c>
      <c r="G26" s="4">
        <v>30</v>
      </c>
      <c r="H26" s="4" t="str" cm="1">
        <f t="array" ref="H26">_xlfn.IFS(G26&gt;=95,"A",G26&gt;=90,"A-",G26&gt;=85,"B+",G26&gt;=80,"B",G26&gt;=75,"B-",G26&gt;=70,"C+",G26&gt;=65,"C",G26&gt;=60,"C-",G26&gt;=55,"D+",G26&gt;=50,"D",G26&gt;=25,"FX",G26&gt;=0,"F")</f>
        <v>FX</v>
      </c>
      <c r="I26" s="4" cm="1">
        <f t="array" ref="I26">_xlfn.IFS(G26&gt;=95,4,G26&gt;=90,3.67,G26&gt;=85,3.33,G26&gt;=80,3,G26&gt;=75,2.67,G26&gt;=70,2.33,G26&gt;=65,2,G26&gt;=60,1.67,G26&gt;=55,1.33,G26&gt;=50,1,G26&gt;=25,0.5,G26&gt;=0,0)</f>
        <v>0.5</v>
      </c>
      <c r="J26" s="4" t="s">
        <v>170</v>
      </c>
      <c r="K26" s="4" t="s">
        <v>171</v>
      </c>
      <c r="L26" s="4" t="s">
        <v>171</v>
      </c>
      <c r="M26" s="4" t="s">
        <v>139</v>
      </c>
      <c r="N26" s="3">
        <v>7</v>
      </c>
      <c r="O26" s="4" t="s">
        <v>141</v>
      </c>
      <c r="P26" s="4" t="s">
        <v>133</v>
      </c>
    </row>
    <row r="27" spans="1:16" ht="56" x14ac:dyDescent="0.2">
      <c r="A27" s="3">
        <v>26</v>
      </c>
      <c r="B27" s="3">
        <v>3</v>
      </c>
      <c r="C27" s="4" t="s">
        <v>33</v>
      </c>
      <c r="D27" s="4" t="s">
        <v>117</v>
      </c>
      <c r="E27" s="4" t="s">
        <v>32</v>
      </c>
      <c r="F27" s="14" t="s">
        <v>213</v>
      </c>
      <c r="G27" s="6" t="s">
        <v>166</v>
      </c>
      <c r="H27" s="4" t="str" cm="1">
        <f t="array" ref="H27">_xlfn.IFS(G27&gt;=95,"A",G27&gt;=90,"A-",G27&gt;=85,"B+",G27&gt;=80,"B",G27&gt;=75,"B-",G27&gt;=70,"C+",G27&gt;=65,"C",G27&gt;=60,"C-",G27&gt;=55,"D+",G27&gt;=50,"D",G27&gt;=25,"FX",G27&gt;=0,"F")</f>
        <v>A</v>
      </c>
      <c r="I27" s="4" cm="1">
        <f t="array" ref="I27">_xlfn.IFS(G27&gt;=95,4,G27&gt;=90,3.67,G27&gt;=85,3.33,G27&gt;=80,3,G27&gt;=75,2.67,G27&gt;=70,2.33,G27&gt;=65,2,G27&gt;=60,1.67,G27&gt;=55,1.33,G27&gt;=50,1,G27&gt;=25,0.5,G27&gt;=0,0)</f>
        <v>4</v>
      </c>
      <c r="J27" s="4" t="s">
        <v>172</v>
      </c>
      <c r="K27" s="4" t="s">
        <v>172</v>
      </c>
      <c r="L27" s="4" t="s">
        <v>172</v>
      </c>
      <c r="M27" s="4" t="s">
        <v>139</v>
      </c>
      <c r="N27" s="3"/>
      <c r="O27" s="4"/>
      <c r="P27" s="4"/>
    </row>
    <row r="28" spans="1:16" ht="28" x14ac:dyDescent="0.2">
      <c r="A28" s="3">
        <v>27</v>
      </c>
      <c r="B28" s="3">
        <v>3</v>
      </c>
      <c r="C28" s="4" t="s">
        <v>33</v>
      </c>
      <c r="D28" s="4" t="s">
        <v>118</v>
      </c>
      <c r="E28" s="4" t="s">
        <v>36</v>
      </c>
      <c r="F28" s="14" t="s">
        <v>217</v>
      </c>
      <c r="G28" s="4">
        <v>95</v>
      </c>
      <c r="H28" s="4" t="str" cm="1">
        <f t="array" ref="H28">_xlfn.IFS(G28&gt;=95,"A",G28&gt;=90,"A-",G28&gt;=85,"B+",G28&gt;=80,"B",G28&gt;=75,"B-",G28&gt;=70,"C+",G28&gt;=65,"C",G28&gt;=60,"C-",G28&gt;=55,"D+",G28&gt;=50,"D",G28&gt;=25,"FX",G28&gt;=0,"F")</f>
        <v>A</v>
      </c>
      <c r="I28" s="4" cm="1">
        <f t="array" ref="I28">_xlfn.IFS(G28&gt;=95,4,G28&gt;=90,3.67,G28&gt;=85,3.33,G28&gt;=80,3,G28&gt;=75,2.67,G28&gt;=70,2.33,G28&gt;=65,2,G28&gt;=60,1.67,G28&gt;=55,1.33,G28&gt;=50,1,G28&gt;=25,0.5,G28&gt;=0,0)</f>
        <v>4</v>
      </c>
      <c r="J28" s="4" t="s">
        <v>170</v>
      </c>
      <c r="K28" s="4" t="s">
        <v>170</v>
      </c>
      <c r="L28" s="4" t="s">
        <v>170</v>
      </c>
      <c r="M28" s="4" t="s">
        <v>137</v>
      </c>
      <c r="N28" s="3">
        <v>16</v>
      </c>
      <c r="O28" s="4" t="s">
        <v>134</v>
      </c>
      <c r="P28" s="4" t="s">
        <v>159</v>
      </c>
    </row>
    <row r="29" spans="1:16" ht="28" x14ac:dyDescent="0.2">
      <c r="A29" s="3">
        <v>28</v>
      </c>
      <c r="B29" s="3">
        <v>3</v>
      </c>
      <c r="C29" s="4" t="s">
        <v>33</v>
      </c>
      <c r="D29" s="4" t="s">
        <v>118</v>
      </c>
      <c r="E29" s="4" t="s">
        <v>37</v>
      </c>
      <c r="F29" s="14" t="s">
        <v>218</v>
      </c>
      <c r="G29" s="6" t="s">
        <v>166</v>
      </c>
      <c r="H29" s="4" t="str" cm="1">
        <f t="array" ref="H29">_xlfn.IFS(G29&gt;=95,"A",G29&gt;=90,"A-",G29&gt;=85,"B+",G29&gt;=80,"B",G29&gt;=75,"B-",G29&gt;=70,"C+",G29&gt;=65,"C",G29&gt;=60,"C-",G29&gt;=55,"D+",G29&gt;=50,"D",G29&gt;=25,"FX",G29&gt;=0,"F")</f>
        <v>A</v>
      </c>
      <c r="I29" s="4" cm="1">
        <f t="array" ref="I29">_xlfn.IFS(G29&gt;=95,4,G29&gt;=90,3.67,G29&gt;=85,3.33,G29&gt;=80,3,G29&gt;=75,2.67,G29&gt;=70,2.33,G29&gt;=65,2,G29&gt;=60,1.67,G29&gt;=55,1.33,G29&gt;=50,1,G29&gt;=25,0.5,G29&gt;=0,0)</f>
        <v>4</v>
      </c>
      <c r="J29" s="6" t="s">
        <v>173</v>
      </c>
      <c r="K29" s="6" t="s">
        <v>173</v>
      </c>
      <c r="L29" s="6" t="s">
        <v>173</v>
      </c>
      <c r="M29" s="4"/>
      <c r="N29" s="3"/>
      <c r="O29" s="4"/>
      <c r="P29" s="4"/>
    </row>
    <row r="30" spans="1:16" ht="28" x14ac:dyDescent="0.2">
      <c r="A30" s="3">
        <v>29</v>
      </c>
      <c r="B30" s="3">
        <v>3</v>
      </c>
      <c r="C30" s="4" t="s">
        <v>33</v>
      </c>
      <c r="D30" s="4" t="s">
        <v>118</v>
      </c>
      <c r="E30" s="11" t="s">
        <v>38</v>
      </c>
      <c r="F30" s="15" t="s">
        <v>219</v>
      </c>
      <c r="G30" s="4">
        <v>96</v>
      </c>
      <c r="H30" s="4" t="str" cm="1">
        <f t="array" ref="H30">_xlfn.IFS(G30&gt;=95,"A",G30&gt;=90,"A-",G30&gt;=85,"B+",G30&gt;=80,"B",G30&gt;=75,"B-",G30&gt;=70,"C+",G30&gt;=65,"C",G30&gt;=60,"C-",G30&gt;=55,"D+",G30&gt;=50,"D",G30&gt;=25,"FX",G30&gt;=0,"F")</f>
        <v>A</v>
      </c>
      <c r="I30" s="4" cm="1">
        <f t="array" ref="I30">_xlfn.IFS(G30&gt;=95,4,G30&gt;=90,3.67,G30&gt;=85,3.33,G30&gt;=80,3,G30&gt;=75,2.67,G30&gt;=70,2.33,G30&gt;=65,2,G30&gt;=60,1.67,G30&gt;=55,1.33,G30&gt;=50,1,G30&gt;=25,0.5,G30&gt;=0,0)</f>
        <v>4</v>
      </c>
      <c r="J30" s="4" t="s">
        <v>170</v>
      </c>
      <c r="K30" s="4" t="s">
        <v>170</v>
      </c>
      <c r="L30" s="4" t="s">
        <v>170</v>
      </c>
      <c r="M30" s="4" t="s">
        <v>137</v>
      </c>
      <c r="N30" s="3">
        <v>18</v>
      </c>
      <c r="O30" s="4" t="s">
        <v>134</v>
      </c>
      <c r="P30" s="4" t="s">
        <v>159</v>
      </c>
    </row>
    <row r="31" spans="1:16" ht="28" x14ac:dyDescent="0.2">
      <c r="A31" s="3">
        <v>30</v>
      </c>
      <c r="B31" s="3">
        <v>3</v>
      </c>
      <c r="C31" s="4" t="s">
        <v>33</v>
      </c>
      <c r="D31" s="4" t="s">
        <v>118</v>
      </c>
      <c r="E31" s="4" t="s">
        <v>39</v>
      </c>
      <c r="F31" s="14" t="s">
        <v>220</v>
      </c>
      <c r="G31" s="6" t="s">
        <v>166</v>
      </c>
      <c r="H31" s="4" t="str" cm="1">
        <f t="array" ref="H31">_xlfn.IFS(G31&gt;=95,"A",G31&gt;=90,"A-",G31&gt;=85,"B+",G31&gt;=80,"B",G31&gt;=75,"B-",G31&gt;=70,"C+",G31&gt;=65,"C",G31&gt;=60,"C-",G31&gt;=55,"D+",G31&gt;=50,"D",G31&gt;=25,"FX",G31&gt;=0,"F")</f>
        <v>A</v>
      </c>
      <c r="I31" s="4" cm="1">
        <f t="array" ref="I31">_xlfn.IFS(G31&gt;=95,4,G31&gt;=90,3.67,G31&gt;=85,3.33,G31&gt;=80,3,G31&gt;=75,2.67,G31&gt;=70,2.33,G31&gt;=65,2,G31&gt;=60,1.67,G31&gt;=55,1.33,G31&gt;=50,1,G31&gt;=25,0.5,G31&gt;=0,0)</f>
        <v>4</v>
      </c>
      <c r="J31" s="6" t="s">
        <v>173</v>
      </c>
      <c r="K31" s="6" t="s">
        <v>173</v>
      </c>
      <c r="L31" s="6" t="s">
        <v>173</v>
      </c>
      <c r="M31" s="4"/>
      <c r="N31" s="3"/>
      <c r="O31" s="4"/>
      <c r="P31" s="4"/>
    </row>
    <row r="32" spans="1:16" ht="14" x14ac:dyDescent="0.2">
      <c r="A32" s="3">
        <v>31</v>
      </c>
      <c r="B32" s="3">
        <v>3</v>
      </c>
      <c r="C32" s="4" t="s">
        <v>33</v>
      </c>
      <c r="D32" s="4" t="s">
        <v>118</v>
      </c>
      <c r="E32" s="4" t="s">
        <v>40</v>
      </c>
      <c r="F32" s="14" t="s">
        <v>221</v>
      </c>
      <c r="G32" s="4">
        <v>93</v>
      </c>
      <c r="H32" s="4" t="str" cm="1">
        <f t="array" ref="H32">_xlfn.IFS(G32&gt;=95,"A",G32&gt;=90,"A-",G32&gt;=85,"B+",G32&gt;=80,"B",G32&gt;=75,"B-",G32&gt;=70,"C+",G32&gt;=65,"C",G32&gt;=60,"C-",G32&gt;=55,"D+",G32&gt;=50,"D",G32&gt;=25,"FX",G32&gt;=0,"F")</f>
        <v>A-</v>
      </c>
      <c r="I32" s="4" cm="1">
        <f t="array" ref="I32">_xlfn.IFS(G32&gt;=95,4,G32&gt;=90,3.67,G32&gt;=85,3.33,G32&gt;=80,3,G32&gt;=75,2.67,G32&gt;=70,2.33,G32&gt;=65,2,G32&gt;=60,1.67,G32&gt;=55,1.33,G32&gt;=50,1,G32&gt;=25,0.5,G32&gt;=0,0)</f>
        <v>3.67</v>
      </c>
      <c r="J32" s="4" t="s">
        <v>170</v>
      </c>
      <c r="K32" s="4" t="s">
        <v>170</v>
      </c>
      <c r="L32" s="4" t="s">
        <v>170</v>
      </c>
      <c r="M32" s="4" t="s">
        <v>137</v>
      </c>
      <c r="N32" s="3" t="s">
        <v>175</v>
      </c>
      <c r="O32" s="4" t="s">
        <v>137</v>
      </c>
      <c r="P32" s="4" t="s">
        <v>159</v>
      </c>
    </row>
    <row r="33" spans="1:16" ht="42" x14ac:dyDescent="0.2">
      <c r="A33" s="3">
        <v>32</v>
      </c>
      <c r="B33" s="3">
        <v>3</v>
      </c>
      <c r="C33" s="4" t="s">
        <v>33</v>
      </c>
      <c r="D33" s="4" t="s">
        <v>118</v>
      </c>
      <c r="E33" s="4" t="s">
        <v>41</v>
      </c>
      <c r="F33" s="14" t="s">
        <v>222</v>
      </c>
      <c r="G33" s="6" t="s">
        <v>166</v>
      </c>
      <c r="H33" s="4" t="str" cm="1">
        <f t="array" ref="H33">_xlfn.IFS(G33&gt;=95,"A",G33&gt;=90,"A-",G33&gt;=85,"B+",G33&gt;=80,"B",G33&gt;=75,"B-",G33&gt;=70,"C+",G33&gt;=65,"C",G33&gt;=60,"C-",G33&gt;=55,"D+",G33&gt;=50,"D",G33&gt;=25,"FX",G33&gt;=0,"F")</f>
        <v>A</v>
      </c>
      <c r="I33" s="4" cm="1">
        <f t="array" ref="I33">_xlfn.IFS(G33&gt;=95,4,G33&gt;=90,3.67,G33&gt;=85,3.33,G33&gt;=80,3,G33&gt;=75,2.67,G33&gt;=70,2.33,G33&gt;=65,2,G33&gt;=60,1.67,G33&gt;=55,1.33,G33&gt;=50,1,G33&gt;=25,0.5,G33&gt;=0,0)</f>
        <v>4</v>
      </c>
      <c r="J33" s="4" t="s">
        <v>170</v>
      </c>
      <c r="K33" s="6" t="s">
        <v>173</v>
      </c>
      <c r="L33" s="6" t="s">
        <v>173</v>
      </c>
      <c r="M33" s="4" t="s">
        <v>140</v>
      </c>
      <c r="N33" s="3"/>
      <c r="O33" s="4"/>
      <c r="P33" s="4"/>
    </row>
    <row r="34" spans="1:16" ht="14" x14ac:dyDescent="0.2">
      <c r="A34" s="3">
        <v>33</v>
      </c>
      <c r="B34" s="3">
        <v>3</v>
      </c>
      <c r="C34" s="4" t="s">
        <v>33</v>
      </c>
      <c r="D34" s="4" t="s">
        <v>118</v>
      </c>
      <c r="E34" s="4" t="s">
        <v>42</v>
      </c>
      <c r="F34" s="14" t="s">
        <v>223</v>
      </c>
      <c r="G34" s="4">
        <v>100</v>
      </c>
      <c r="H34" s="4" t="str" cm="1">
        <f t="array" ref="H34">_xlfn.IFS(G34&gt;=95,"A",G34&gt;=90,"A-",G34&gt;=85,"B+",G34&gt;=80,"B",G34&gt;=75,"B-",G34&gt;=70,"C+",G34&gt;=65,"C",G34&gt;=60,"C-",G34&gt;=55,"D+",G34&gt;=50,"D",G34&gt;=25,"FX",G34&gt;=0,"F")</f>
        <v>A</v>
      </c>
      <c r="I34" s="4" cm="1">
        <f t="array" ref="I34">_xlfn.IFS(G34&gt;=95,4,G34&gt;=90,3.67,G34&gt;=85,3.33,G34&gt;=80,3,G34&gt;=75,2.67,G34&gt;=70,2.33,G34&gt;=65,2,G34&gt;=60,1.67,G34&gt;=55,1.33,G34&gt;=50,1,G34&gt;=25,0.5,G34&gt;=0,0)</f>
        <v>4</v>
      </c>
      <c r="J34" s="4" t="s">
        <v>170</v>
      </c>
      <c r="K34" s="4" t="s">
        <v>170</v>
      </c>
      <c r="L34" s="4" t="s">
        <v>170</v>
      </c>
      <c r="M34" s="4" t="s">
        <v>137</v>
      </c>
      <c r="N34" s="3">
        <v>19</v>
      </c>
      <c r="O34" s="4" t="s">
        <v>137</v>
      </c>
      <c r="P34" s="4" t="s">
        <v>159</v>
      </c>
    </row>
    <row r="35" spans="1:16" ht="28" x14ac:dyDescent="0.2">
      <c r="A35" s="3">
        <v>34</v>
      </c>
      <c r="B35" s="3">
        <v>3</v>
      </c>
      <c r="C35" s="4" t="s">
        <v>33</v>
      </c>
      <c r="D35" s="4" t="s">
        <v>118</v>
      </c>
      <c r="E35" s="4" t="s">
        <v>43</v>
      </c>
      <c r="F35" s="14" t="s">
        <v>224</v>
      </c>
      <c r="G35" s="6" t="s">
        <v>166</v>
      </c>
      <c r="H35" s="4" t="str" cm="1">
        <f t="array" ref="H35">_xlfn.IFS(G35&gt;=95,"A",G35&gt;=90,"A-",G35&gt;=85,"B+",G35&gt;=80,"B",G35&gt;=75,"B-",G35&gt;=70,"C+",G35&gt;=65,"C",G35&gt;=60,"C-",G35&gt;=55,"D+",G35&gt;=50,"D",G35&gt;=25,"FX",G35&gt;=0,"F")</f>
        <v>A</v>
      </c>
      <c r="I35" s="4" cm="1">
        <f t="array" ref="I35">_xlfn.IFS(G35&gt;=95,4,G35&gt;=90,3.67,G35&gt;=85,3.33,G35&gt;=80,3,G35&gt;=75,2.67,G35&gt;=70,2.33,G35&gt;=65,2,G35&gt;=60,1.67,G35&gt;=55,1.33,G35&gt;=50,1,G35&gt;=25,0.5,G35&gt;=0,0)</f>
        <v>4</v>
      </c>
      <c r="J35" s="6" t="s">
        <v>173</v>
      </c>
      <c r="K35" s="6" t="s">
        <v>173</v>
      </c>
      <c r="L35" s="6" t="s">
        <v>173</v>
      </c>
      <c r="M35" s="4"/>
      <c r="N35" s="3"/>
      <c r="O35" s="4"/>
      <c r="P35" s="4"/>
    </row>
    <row r="36" spans="1:16" ht="28" x14ac:dyDescent="0.2">
      <c r="A36" s="3">
        <v>35</v>
      </c>
      <c r="B36" s="3">
        <v>3</v>
      </c>
      <c r="C36" s="4" t="s">
        <v>33</v>
      </c>
      <c r="D36" s="4" t="s">
        <v>118</v>
      </c>
      <c r="E36" s="4" t="s">
        <v>44</v>
      </c>
      <c r="F36" s="14" t="s">
        <v>225</v>
      </c>
      <c r="G36" s="6" t="s">
        <v>166</v>
      </c>
      <c r="H36" s="4" t="str" cm="1">
        <f t="array" ref="H36">_xlfn.IFS(G36&gt;=95,"A",G36&gt;=90,"A-",G36&gt;=85,"B+",G36&gt;=80,"B",G36&gt;=75,"B-",G36&gt;=70,"C+",G36&gt;=65,"C",G36&gt;=60,"C-",G36&gt;=55,"D+",G36&gt;=50,"D",G36&gt;=25,"FX",G36&gt;=0,"F")</f>
        <v>A</v>
      </c>
      <c r="I36" s="4" cm="1">
        <f t="array" ref="I36">_xlfn.IFS(G36&gt;=95,4,G36&gt;=90,3.67,G36&gt;=85,3.33,G36&gt;=80,3,G36&gt;=75,2.67,G36&gt;=70,2.33,G36&gt;=65,2,G36&gt;=60,1.67,G36&gt;=55,1.33,G36&gt;=50,1,G36&gt;=25,0.5,G36&gt;=0,0)</f>
        <v>4</v>
      </c>
      <c r="J36" s="6" t="s">
        <v>173</v>
      </c>
      <c r="K36" s="6" t="s">
        <v>173</v>
      </c>
      <c r="L36" s="6" t="s">
        <v>173</v>
      </c>
      <c r="M36" s="4"/>
      <c r="N36" s="3"/>
      <c r="O36" s="4"/>
      <c r="P36" s="4"/>
    </row>
    <row r="37" spans="1:16" ht="28" x14ac:dyDescent="0.2">
      <c r="A37" s="3">
        <v>36</v>
      </c>
      <c r="B37" s="3">
        <v>3</v>
      </c>
      <c r="C37" s="4" t="s">
        <v>33</v>
      </c>
      <c r="D37" s="4" t="s">
        <v>118</v>
      </c>
      <c r="E37" s="4" t="s">
        <v>45</v>
      </c>
      <c r="F37" s="14" t="s">
        <v>226</v>
      </c>
      <c r="G37" s="6" t="s">
        <v>166</v>
      </c>
      <c r="H37" s="4" t="str" cm="1">
        <f t="array" ref="H37">_xlfn.IFS(G37&gt;=95,"A",G37&gt;=90,"A-",G37&gt;=85,"B+",G37&gt;=80,"B",G37&gt;=75,"B-",G37&gt;=70,"C+",G37&gt;=65,"C",G37&gt;=60,"C-",G37&gt;=55,"D+",G37&gt;=50,"D",G37&gt;=25,"FX",G37&gt;=0,"F")</f>
        <v>A</v>
      </c>
      <c r="I37" s="4" cm="1">
        <f t="array" ref="I37">_xlfn.IFS(G37&gt;=95,4,G37&gt;=90,3.67,G37&gt;=85,3.33,G37&gt;=80,3,G37&gt;=75,2.67,G37&gt;=70,2.33,G37&gt;=65,2,G37&gt;=60,1.67,G37&gt;=55,1.33,G37&gt;=50,1,G37&gt;=25,0.5,G37&gt;=0,0)</f>
        <v>4</v>
      </c>
      <c r="J37" s="6" t="s">
        <v>173</v>
      </c>
      <c r="K37" s="6" t="s">
        <v>173</v>
      </c>
      <c r="L37" s="6" t="s">
        <v>173</v>
      </c>
      <c r="M37" s="4"/>
      <c r="N37" s="3"/>
      <c r="O37" s="4"/>
      <c r="P37" s="4"/>
    </row>
    <row r="38" spans="1:16" ht="28" x14ac:dyDescent="0.2">
      <c r="A38" s="3">
        <v>37</v>
      </c>
      <c r="B38" s="3">
        <v>3</v>
      </c>
      <c r="C38" s="4" t="s">
        <v>33</v>
      </c>
      <c r="D38" s="4" t="s">
        <v>118</v>
      </c>
      <c r="E38" s="4" t="s">
        <v>46</v>
      </c>
      <c r="F38" s="14" t="s">
        <v>227</v>
      </c>
      <c r="G38" s="4">
        <v>75</v>
      </c>
      <c r="H38" s="4" t="str" cm="1">
        <f t="array" ref="H38">_xlfn.IFS(G38&gt;=95,"A",G38&gt;=90,"A-",G38&gt;=85,"B+",G38&gt;=80,"B",G38&gt;=75,"B-",G38&gt;=70,"C+",G38&gt;=65,"C",G38&gt;=60,"C-",G38&gt;=55,"D+",G38&gt;=50,"D",G38&gt;=25,"FX",G38&gt;=0,"F")</f>
        <v>B-</v>
      </c>
      <c r="I38" s="4" cm="1">
        <f t="array" ref="I38">_xlfn.IFS(G38&gt;=95,4,G38&gt;=90,3.67,G38&gt;=85,3.33,G38&gt;=80,3,G38&gt;=75,2.67,G38&gt;=70,2.33,G38&gt;=65,2,G38&gt;=60,1.67,G38&gt;=55,1.33,G38&gt;=50,1,G38&gt;=25,0.5,G38&gt;=0,0)</f>
        <v>2.67</v>
      </c>
      <c r="J38" s="4" t="s">
        <v>170</v>
      </c>
      <c r="K38" s="4" t="s">
        <v>171</v>
      </c>
      <c r="L38" s="4" t="s">
        <v>171</v>
      </c>
      <c r="M38" s="4" t="s">
        <v>137</v>
      </c>
      <c r="N38" s="3">
        <v>14</v>
      </c>
      <c r="O38" s="4" t="s">
        <v>137</v>
      </c>
      <c r="P38" s="4" t="s">
        <v>159</v>
      </c>
    </row>
    <row r="39" spans="1:16" ht="28" x14ac:dyDescent="0.2">
      <c r="A39" s="3">
        <v>38</v>
      </c>
      <c r="B39" s="3">
        <v>3</v>
      </c>
      <c r="C39" s="4" t="s">
        <v>33</v>
      </c>
      <c r="D39" s="4" t="s">
        <v>118</v>
      </c>
      <c r="E39" s="4" t="s">
        <v>47</v>
      </c>
      <c r="F39" s="14" t="s">
        <v>228</v>
      </c>
      <c r="G39" s="6" t="s">
        <v>166</v>
      </c>
      <c r="H39" s="4" t="str" cm="1">
        <f t="array" ref="H39">_xlfn.IFS(G39&gt;=95,"A",G39&gt;=90,"A-",G39&gt;=85,"B+",G39&gt;=80,"B",G39&gt;=75,"B-",G39&gt;=70,"C+",G39&gt;=65,"C",G39&gt;=60,"C-",G39&gt;=55,"D+",G39&gt;=50,"D",G39&gt;=25,"FX",G39&gt;=0,"F")</f>
        <v>A</v>
      </c>
      <c r="I39" s="4" cm="1">
        <f t="array" ref="I39">_xlfn.IFS(G39&gt;=95,4,G39&gt;=90,3.67,G39&gt;=85,3.33,G39&gt;=80,3,G39&gt;=75,2.67,G39&gt;=70,2.33,G39&gt;=65,2,G39&gt;=60,1.67,G39&gt;=55,1.33,G39&gt;=50,1,G39&gt;=25,0.5,G39&gt;=0,0)</f>
        <v>4</v>
      </c>
      <c r="J39" s="6" t="s">
        <v>173</v>
      </c>
      <c r="K39" s="6" t="s">
        <v>173</v>
      </c>
      <c r="L39" s="6" t="s">
        <v>173</v>
      </c>
      <c r="M39" s="4"/>
      <c r="N39" s="3"/>
      <c r="O39" s="4"/>
      <c r="P39" s="4"/>
    </row>
    <row r="40" spans="1:16" ht="28" x14ac:dyDescent="0.2">
      <c r="A40" s="3">
        <v>39</v>
      </c>
      <c r="B40" s="3">
        <v>3</v>
      </c>
      <c r="C40" s="4" t="s">
        <v>33</v>
      </c>
      <c r="D40" s="4" t="s">
        <v>118</v>
      </c>
      <c r="E40" s="4" t="s">
        <v>215</v>
      </c>
      <c r="F40" s="14" t="s">
        <v>229</v>
      </c>
      <c r="G40" s="6" t="s">
        <v>166</v>
      </c>
      <c r="H40" s="4" t="str" cm="1">
        <f t="array" ref="H40">_xlfn.IFS(G40&gt;=95,"A",G40&gt;=90,"A-",G40&gt;=85,"B+",G40&gt;=80,"B",G40&gt;=75,"B-",G40&gt;=70,"C+",G40&gt;=65,"C",G40&gt;=60,"C-",G40&gt;=55,"D+",G40&gt;=50,"D",G40&gt;=25,"FX",G40&gt;=0,"F")</f>
        <v>A</v>
      </c>
      <c r="I40" s="4" cm="1">
        <f t="array" ref="I40">_xlfn.IFS(G40&gt;=95,4,G40&gt;=90,3.67,G40&gt;=85,3.33,G40&gt;=80,3,G40&gt;=75,2.67,G40&gt;=70,2.33,G40&gt;=65,2,G40&gt;=60,1.67,G40&gt;=55,1.33,G40&gt;=50,1,G40&gt;=25,0.5,G40&gt;=0,0)</f>
        <v>4</v>
      </c>
      <c r="J40" s="6" t="s">
        <v>173</v>
      </c>
      <c r="K40" s="6" t="s">
        <v>173</v>
      </c>
      <c r="L40" s="6" t="s">
        <v>173</v>
      </c>
      <c r="M40" s="4"/>
      <c r="N40" s="3"/>
      <c r="O40" s="4"/>
      <c r="P40" s="4"/>
    </row>
    <row r="41" spans="1:16" ht="14" x14ac:dyDescent="0.2">
      <c r="A41" s="3">
        <v>40</v>
      </c>
      <c r="B41" s="3">
        <v>3</v>
      </c>
      <c r="C41" s="4" t="s">
        <v>33</v>
      </c>
      <c r="D41" s="4" t="s">
        <v>118</v>
      </c>
      <c r="E41" s="11" t="s">
        <v>49</v>
      </c>
      <c r="F41" s="15" t="s">
        <v>230</v>
      </c>
      <c r="G41" s="4">
        <v>100</v>
      </c>
      <c r="H41" s="4" t="str" cm="1">
        <f t="array" ref="H41">_xlfn.IFS(G41&gt;=95,"A",G41&gt;=90,"A-",G41&gt;=85,"B+",G41&gt;=80,"B",G41&gt;=75,"B-",G41&gt;=70,"C+",G41&gt;=65,"C",G41&gt;=60,"C-",G41&gt;=55,"D+",G41&gt;=50,"D",G41&gt;=25,"FX",G41&gt;=0,"F")</f>
        <v>A</v>
      </c>
      <c r="I41" s="4" cm="1">
        <f t="array" ref="I41">_xlfn.IFS(G41&gt;=95,4,G41&gt;=90,3.67,G41&gt;=85,3.33,G41&gt;=80,3,G41&gt;=75,2.67,G41&gt;=70,2.33,G41&gt;=65,2,G41&gt;=60,1.67,G41&gt;=55,1.33,G41&gt;=50,1,G41&gt;=25,0.5,G41&gt;=0,0)</f>
        <v>4</v>
      </c>
      <c r="J41" s="4" t="s">
        <v>170</v>
      </c>
      <c r="K41" s="4" t="s">
        <v>170</v>
      </c>
      <c r="L41" s="4" t="s">
        <v>170</v>
      </c>
      <c r="M41" s="4" t="s">
        <v>137</v>
      </c>
      <c r="N41" s="3">
        <v>22</v>
      </c>
      <c r="O41" s="4" t="s">
        <v>137</v>
      </c>
      <c r="P41" s="4" t="s">
        <v>159</v>
      </c>
    </row>
    <row r="42" spans="1:16" ht="14" x14ac:dyDescent="0.2">
      <c r="A42" s="3">
        <v>41</v>
      </c>
      <c r="B42" s="3">
        <v>3</v>
      </c>
      <c r="C42" s="4" t="s">
        <v>33</v>
      </c>
      <c r="D42" s="4" t="s">
        <v>118</v>
      </c>
      <c r="E42" s="4" t="s">
        <v>216</v>
      </c>
      <c r="F42" s="14" t="s">
        <v>231</v>
      </c>
      <c r="G42" s="4">
        <v>100</v>
      </c>
      <c r="H42" s="4" t="str" cm="1">
        <f t="array" ref="H42">_xlfn.IFS(G42&gt;=95,"A",G42&gt;=90,"A-",G42&gt;=85,"B+",G42&gt;=80,"B",G42&gt;=75,"B-",G42&gt;=70,"C+",G42&gt;=65,"C",G42&gt;=60,"C-",G42&gt;=55,"D+",G42&gt;=50,"D",G42&gt;=25,"FX",G42&gt;=0,"F")</f>
        <v>A</v>
      </c>
      <c r="I42" s="4" cm="1">
        <f t="array" ref="I42">_xlfn.IFS(G42&gt;=95,4,G42&gt;=90,3.67,G42&gt;=85,3.33,G42&gt;=80,3,G42&gt;=75,2.67,G42&gt;=70,2.33,G42&gt;=65,2,G42&gt;=60,1.67,G42&gt;=55,1.33,G42&gt;=50,1,G42&gt;=25,0.5,G42&gt;=0,0)</f>
        <v>4</v>
      </c>
      <c r="J42" s="4" t="s">
        <v>170</v>
      </c>
      <c r="K42" s="4" t="s">
        <v>170</v>
      </c>
      <c r="L42" s="4" t="s">
        <v>170</v>
      </c>
      <c r="M42" s="4" t="s">
        <v>137</v>
      </c>
      <c r="N42" s="3">
        <v>17</v>
      </c>
      <c r="O42" s="4" t="s">
        <v>137</v>
      </c>
      <c r="P42" s="4" t="s">
        <v>159</v>
      </c>
    </row>
    <row r="43" spans="1:16" ht="28" x14ac:dyDescent="0.2">
      <c r="A43" s="3">
        <v>42</v>
      </c>
      <c r="B43" s="3">
        <v>3</v>
      </c>
      <c r="C43" s="4" t="s">
        <v>33</v>
      </c>
      <c r="D43" s="4" t="s">
        <v>118</v>
      </c>
      <c r="E43" s="4" t="s">
        <v>51</v>
      </c>
      <c r="F43" s="14" t="s">
        <v>232</v>
      </c>
      <c r="G43" s="6" t="s">
        <v>166</v>
      </c>
      <c r="H43" s="4" t="str" cm="1">
        <f t="array" ref="H43">_xlfn.IFS(G43&gt;=95,"A",G43&gt;=90,"A-",G43&gt;=85,"B+",G43&gt;=80,"B",G43&gt;=75,"B-",G43&gt;=70,"C+",G43&gt;=65,"C",G43&gt;=60,"C-",G43&gt;=55,"D+",G43&gt;=50,"D",G43&gt;=25,"FX",G43&gt;=0,"F")</f>
        <v>A</v>
      </c>
      <c r="I43" s="4" cm="1">
        <f t="array" ref="I43">_xlfn.IFS(G43&gt;=95,4,G43&gt;=90,3.67,G43&gt;=85,3.33,G43&gt;=80,3,G43&gt;=75,2.67,G43&gt;=70,2.33,G43&gt;=65,2,G43&gt;=60,1.67,G43&gt;=55,1.33,G43&gt;=50,1,G43&gt;=25,0.5,G43&gt;=0,0)</f>
        <v>4</v>
      </c>
      <c r="J43" s="6" t="s">
        <v>173</v>
      </c>
      <c r="K43" s="6" t="s">
        <v>173</v>
      </c>
      <c r="L43" s="6" t="s">
        <v>173</v>
      </c>
      <c r="M43" s="4"/>
      <c r="N43" s="3"/>
      <c r="O43" s="4"/>
      <c r="P43" s="4"/>
    </row>
    <row r="44" spans="1:16" ht="28" x14ac:dyDescent="0.2">
      <c r="A44" s="3">
        <v>43</v>
      </c>
      <c r="B44" s="3">
        <v>3</v>
      </c>
      <c r="C44" s="4" t="s">
        <v>33</v>
      </c>
      <c r="D44" s="4" t="s">
        <v>118</v>
      </c>
      <c r="E44" s="4" t="s">
        <v>52</v>
      </c>
      <c r="F44" s="14" t="s">
        <v>233</v>
      </c>
      <c r="G44" s="4">
        <v>95</v>
      </c>
      <c r="H44" s="4" t="str" cm="1">
        <f t="array" ref="H44">_xlfn.IFS(G44&gt;=95,"A",G44&gt;=90,"A-",G44&gt;=85,"B+",G44&gt;=80,"B",G44&gt;=75,"B-",G44&gt;=70,"C+",G44&gt;=65,"C",G44&gt;=60,"C-",G44&gt;=55,"D+",G44&gt;=50,"D",G44&gt;=25,"FX",G44&gt;=0,"F")</f>
        <v>A</v>
      </c>
      <c r="I44" s="4" cm="1">
        <f t="array" ref="I44">_xlfn.IFS(G44&gt;=95,4,G44&gt;=90,3.67,G44&gt;=85,3.33,G44&gt;=80,3,G44&gt;=75,2.67,G44&gt;=70,2.33,G44&gt;=65,2,G44&gt;=60,1.67,G44&gt;=55,1.33,G44&gt;=50,1,G44&gt;=25,0.5,G44&gt;=0,0)</f>
        <v>4</v>
      </c>
      <c r="J44" s="4" t="s">
        <v>171</v>
      </c>
      <c r="K44" s="4" t="s">
        <v>171</v>
      </c>
      <c r="L44" s="4" t="s">
        <v>171</v>
      </c>
      <c r="M44" s="4" t="s">
        <v>137</v>
      </c>
      <c r="N44" s="3">
        <v>15</v>
      </c>
      <c r="O44" s="4" t="s">
        <v>137</v>
      </c>
      <c r="P44" s="4" t="s">
        <v>159</v>
      </c>
    </row>
    <row r="45" spans="1:16" ht="14" x14ac:dyDescent="0.2">
      <c r="A45" s="3">
        <v>44</v>
      </c>
      <c r="B45" s="3">
        <v>3</v>
      </c>
      <c r="C45" s="4" t="s">
        <v>33</v>
      </c>
      <c r="D45" s="4" t="s">
        <v>118</v>
      </c>
      <c r="E45" s="11" t="s">
        <v>53</v>
      </c>
      <c r="F45" s="15" t="s">
        <v>234</v>
      </c>
      <c r="G45" s="4">
        <v>95</v>
      </c>
      <c r="H45" s="4" t="str" cm="1">
        <f t="array" ref="H45">_xlfn.IFS(G45&gt;=95,"A",G45&gt;=90,"A-",G45&gt;=85,"B+",G45&gt;=80,"B",G45&gt;=75,"B-",G45&gt;=70,"C+",G45&gt;=65,"C",G45&gt;=60,"C-",G45&gt;=55,"D+",G45&gt;=50,"D",G45&gt;=25,"FX",G45&gt;=0,"F")</f>
        <v>A</v>
      </c>
      <c r="I45" s="4" cm="1">
        <f t="array" ref="I45">_xlfn.IFS(G45&gt;=95,4,G45&gt;=90,3.67,G45&gt;=85,3.33,G45&gt;=80,3,G45&gt;=75,2.67,G45&gt;=70,2.33,G45&gt;=65,2,G45&gt;=60,1.67,G45&gt;=55,1.33,G45&gt;=50,1,G45&gt;=25,0.5,G45&gt;=0,0)</f>
        <v>4</v>
      </c>
      <c r="J45" s="4" t="s">
        <v>170</v>
      </c>
      <c r="K45" s="4" t="s">
        <v>170</v>
      </c>
      <c r="L45" s="4" t="s">
        <v>170</v>
      </c>
      <c r="M45" s="4" t="s">
        <v>137</v>
      </c>
      <c r="N45" s="3">
        <v>18</v>
      </c>
      <c r="O45" s="4" t="s">
        <v>137</v>
      </c>
      <c r="P45" s="4" t="s">
        <v>159</v>
      </c>
    </row>
    <row r="46" spans="1:16" ht="14" x14ac:dyDescent="0.2">
      <c r="A46" s="3">
        <v>45</v>
      </c>
      <c r="B46" s="3">
        <v>3</v>
      </c>
      <c r="C46" s="4" t="s">
        <v>33</v>
      </c>
      <c r="D46" s="4" t="s">
        <v>118</v>
      </c>
      <c r="E46" s="11" t="s">
        <v>54</v>
      </c>
      <c r="F46" s="15" t="s">
        <v>235</v>
      </c>
      <c r="G46" s="4">
        <v>95</v>
      </c>
      <c r="H46" s="4" t="str" cm="1">
        <f t="array" ref="H46">_xlfn.IFS(G46&gt;=95,"A",G46&gt;=90,"A-",G46&gt;=85,"B+",G46&gt;=80,"B",G46&gt;=75,"B-",G46&gt;=70,"C+",G46&gt;=65,"C",G46&gt;=60,"C-",G46&gt;=55,"D+",G46&gt;=50,"D",G46&gt;=25,"FX",G46&gt;=0,"F")</f>
        <v>A</v>
      </c>
      <c r="I46" s="4" cm="1">
        <f t="array" ref="I46">_xlfn.IFS(G46&gt;=95,4,G46&gt;=90,3.67,G46&gt;=85,3.33,G46&gt;=80,3,G46&gt;=75,2.67,G46&gt;=70,2.33,G46&gt;=65,2,G46&gt;=60,1.67,G46&gt;=55,1.33,G46&gt;=50,1,G46&gt;=25,0.5,G46&gt;=0,0)</f>
        <v>4</v>
      </c>
      <c r="J46" s="4" t="s">
        <v>170</v>
      </c>
      <c r="K46" s="4" t="s">
        <v>170</v>
      </c>
      <c r="L46" s="4" t="s">
        <v>170</v>
      </c>
      <c r="M46" s="4" t="s">
        <v>137</v>
      </c>
      <c r="N46" s="3">
        <v>18</v>
      </c>
      <c r="O46" s="4" t="s">
        <v>137</v>
      </c>
      <c r="P46" s="4" t="s">
        <v>159</v>
      </c>
    </row>
    <row r="47" spans="1:16" ht="28" x14ac:dyDescent="0.2">
      <c r="A47" s="3">
        <v>46</v>
      </c>
      <c r="B47" s="3">
        <v>3</v>
      </c>
      <c r="C47" s="4" t="s">
        <v>33</v>
      </c>
      <c r="D47" s="4" t="s">
        <v>118</v>
      </c>
      <c r="E47" s="4" t="s">
        <v>55</v>
      </c>
      <c r="F47" s="14" t="s">
        <v>236</v>
      </c>
      <c r="G47" s="4">
        <v>95</v>
      </c>
      <c r="H47" s="4" t="str" cm="1">
        <f t="array" ref="H47">_xlfn.IFS(G47&gt;=95,"A",G47&gt;=90,"A-",G47&gt;=85,"B+",G47&gt;=80,"B",G47&gt;=75,"B-",G47&gt;=70,"C+",G47&gt;=65,"C",G47&gt;=60,"C-",G47&gt;=55,"D+",G47&gt;=50,"D",G47&gt;=25,"FX",G47&gt;=0,"F")</f>
        <v>A</v>
      </c>
      <c r="I47" s="4" cm="1">
        <f t="array" ref="I47">_xlfn.IFS(G47&gt;=95,4,G47&gt;=90,3.67,G47&gt;=85,3.33,G47&gt;=80,3,G47&gt;=75,2.67,G47&gt;=70,2.33,G47&gt;=65,2,G47&gt;=60,1.67,G47&gt;=55,1.33,G47&gt;=50,1,G47&gt;=25,0.5,G47&gt;=0,0)</f>
        <v>4</v>
      </c>
      <c r="J47" s="4" t="s">
        <v>171</v>
      </c>
      <c r="K47" s="4" t="s">
        <v>171</v>
      </c>
      <c r="L47" s="4" t="s">
        <v>171</v>
      </c>
      <c r="M47" s="4" t="s">
        <v>137</v>
      </c>
      <c r="N47" s="3">
        <v>35</v>
      </c>
      <c r="O47" s="4" t="s">
        <v>137</v>
      </c>
      <c r="P47" s="4" t="s">
        <v>159</v>
      </c>
    </row>
    <row r="48" spans="1:16" ht="28" x14ac:dyDescent="0.2">
      <c r="A48" s="3">
        <v>47</v>
      </c>
      <c r="B48" s="3">
        <v>3</v>
      </c>
      <c r="C48" s="4" t="s">
        <v>33</v>
      </c>
      <c r="D48" s="4" t="s">
        <v>118</v>
      </c>
      <c r="E48" s="4" t="s">
        <v>56</v>
      </c>
      <c r="F48" s="14" t="s">
        <v>237</v>
      </c>
      <c r="G48" s="6" t="s">
        <v>166</v>
      </c>
      <c r="H48" s="4" t="str" cm="1">
        <f t="array" ref="H48">_xlfn.IFS(G48&gt;=95,"A",G48&gt;=90,"A-",G48&gt;=85,"B+",G48&gt;=80,"B",G48&gt;=75,"B-",G48&gt;=70,"C+",G48&gt;=65,"C",G48&gt;=60,"C-",G48&gt;=55,"D+",G48&gt;=50,"D",G48&gt;=25,"FX",G48&gt;=0,"F")</f>
        <v>A</v>
      </c>
      <c r="I48" s="4" cm="1">
        <f t="array" ref="I48">_xlfn.IFS(G48&gt;=95,4,G48&gt;=90,3.67,G48&gt;=85,3.33,G48&gt;=80,3,G48&gt;=75,2.67,G48&gt;=70,2.33,G48&gt;=65,2,G48&gt;=60,1.67,G48&gt;=55,1.33,G48&gt;=50,1,G48&gt;=25,0.5,G48&gt;=0,0)</f>
        <v>4</v>
      </c>
      <c r="J48" s="6" t="s">
        <v>173</v>
      </c>
      <c r="K48" s="6" t="s">
        <v>173</v>
      </c>
      <c r="L48" s="6" t="s">
        <v>173</v>
      </c>
      <c r="M48" s="4"/>
      <c r="N48" s="3"/>
      <c r="O48" s="4"/>
      <c r="P48" s="4"/>
    </row>
    <row r="49" spans="1:16" ht="14" x14ac:dyDescent="0.2">
      <c r="A49" s="3">
        <v>48</v>
      </c>
      <c r="B49" s="3">
        <v>3</v>
      </c>
      <c r="C49" s="4" t="s">
        <v>33</v>
      </c>
      <c r="D49" s="4" t="s">
        <v>118</v>
      </c>
      <c r="E49" s="4" t="s">
        <v>57</v>
      </c>
      <c r="F49" s="14" t="s">
        <v>238</v>
      </c>
      <c r="G49" s="6" t="s">
        <v>166</v>
      </c>
      <c r="H49" s="4" t="str" cm="1">
        <f t="array" ref="H49">_xlfn.IFS(G49&gt;=95,"A",G49&gt;=90,"A-",G49&gt;=85,"B+",G49&gt;=80,"B",G49&gt;=75,"B-",G49&gt;=70,"C+",G49&gt;=65,"C",G49&gt;=60,"C-",G49&gt;=55,"D+",G49&gt;=50,"D",G49&gt;=25,"FX",G49&gt;=0,"F")</f>
        <v>A</v>
      </c>
      <c r="I49" s="4" cm="1">
        <f t="array" ref="I49">_xlfn.IFS(G49&gt;=95,4,G49&gt;=90,3.67,G49&gt;=85,3.33,G49&gt;=80,3,G49&gt;=75,2.67,G49&gt;=70,2.33,G49&gt;=65,2,G49&gt;=60,1.67,G49&gt;=55,1.33,G49&gt;=50,1,G49&gt;=25,0.5,G49&gt;=0,0)</f>
        <v>4</v>
      </c>
      <c r="J49" s="4" t="s">
        <v>170</v>
      </c>
      <c r="K49" s="4" t="s">
        <v>170</v>
      </c>
      <c r="L49" s="4" t="s">
        <v>170</v>
      </c>
      <c r="M49" s="4" t="s">
        <v>137</v>
      </c>
      <c r="N49" s="3"/>
      <c r="O49" s="4"/>
      <c r="P49" s="4"/>
    </row>
    <row r="50" spans="1:16" ht="56" x14ac:dyDescent="0.2">
      <c r="A50" s="3">
        <v>49</v>
      </c>
      <c r="B50" s="3">
        <v>3</v>
      </c>
      <c r="C50" s="4" t="s">
        <v>33</v>
      </c>
      <c r="D50" s="4" t="s">
        <v>118</v>
      </c>
      <c r="E50" s="4" t="s">
        <v>58</v>
      </c>
      <c r="F50" s="14" t="s">
        <v>239</v>
      </c>
      <c r="G50" s="6" t="s">
        <v>166</v>
      </c>
      <c r="H50" s="4" t="str" cm="1">
        <f t="array" ref="H50">_xlfn.IFS(G50&gt;=95,"A",G50&gt;=90,"A-",G50&gt;=85,"B+",G50&gt;=80,"B",G50&gt;=75,"B-",G50&gt;=70,"C+",G50&gt;=65,"C",G50&gt;=60,"C-",G50&gt;=55,"D+",G50&gt;=50,"D",G50&gt;=25,"FX",G50&gt;=0,"F")</f>
        <v>A</v>
      </c>
      <c r="I50" s="4" cm="1">
        <f t="array" ref="I50">_xlfn.IFS(G50&gt;=95,4,G50&gt;=90,3.67,G50&gt;=85,3.33,G50&gt;=80,3,G50&gt;=75,2.67,G50&gt;=70,2.33,G50&gt;=65,2,G50&gt;=60,1.67,G50&gt;=55,1.33,G50&gt;=50,1,G50&gt;=25,0.5,G50&gt;=0,0)</f>
        <v>4</v>
      </c>
      <c r="J50" s="6" t="s">
        <v>173</v>
      </c>
      <c r="K50" s="6" t="s">
        <v>173</v>
      </c>
      <c r="L50" s="6" t="s">
        <v>173</v>
      </c>
      <c r="M50" s="4" t="s">
        <v>139</v>
      </c>
      <c r="N50" s="3"/>
      <c r="O50" s="4"/>
      <c r="P50" s="4"/>
    </row>
    <row r="51" spans="1:16" ht="84" x14ac:dyDescent="0.2">
      <c r="A51" s="3">
        <v>50</v>
      </c>
      <c r="B51" s="3">
        <v>3</v>
      </c>
      <c r="C51" s="4" t="s">
        <v>33</v>
      </c>
      <c r="D51" s="4" t="s">
        <v>118</v>
      </c>
      <c r="E51" s="4" t="s">
        <v>59</v>
      </c>
      <c r="F51" s="14" t="s">
        <v>240</v>
      </c>
      <c r="G51" s="6">
        <v>60</v>
      </c>
      <c r="H51" s="4" t="str" cm="1">
        <f t="array" ref="H51">_xlfn.IFS(G51&gt;=95,"A",G51&gt;=90,"A-",G51&gt;=85,"B+",G51&gt;=80,"B",G51&gt;=75,"B-",G51&gt;=70,"C+",G51&gt;=65,"C",G51&gt;=60,"C-",G51&gt;=55,"D+",G51&gt;=50,"D",G51&gt;=25,"FX",G51&gt;=0,"F")</f>
        <v>C-</v>
      </c>
      <c r="I51" s="4" cm="1">
        <f t="array" ref="I51">_xlfn.IFS(G51&gt;=95,4,G51&gt;=90,3.67,G51&gt;=85,3.33,G51&gt;=80,3,G51&gt;=75,2.67,G51&gt;=70,2.33,G51&gt;=65,2,G51&gt;=60,1.67,G51&gt;=55,1.33,G51&gt;=50,1,G51&gt;=25,0.5,G51&gt;=0,0)</f>
        <v>1.67</v>
      </c>
      <c r="J51" s="4" t="s">
        <v>171</v>
      </c>
      <c r="K51" s="4" t="s">
        <v>171</v>
      </c>
      <c r="L51" s="4" t="s">
        <v>178</v>
      </c>
      <c r="M51" s="4" t="s">
        <v>139</v>
      </c>
      <c r="N51" s="3">
        <v>14</v>
      </c>
      <c r="O51" s="4" t="s">
        <v>134</v>
      </c>
      <c r="P51" s="4" t="s">
        <v>159</v>
      </c>
    </row>
    <row r="52" spans="1:16" ht="28" x14ac:dyDescent="0.2">
      <c r="A52" s="3">
        <v>51</v>
      </c>
      <c r="B52" s="3">
        <v>3</v>
      </c>
      <c r="C52" s="4" t="s">
        <v>33</v>
      </c>
      <c r="D52" s="4" t="s">
        <v>118</v>
      </c>
      <c r="E52" s="4" t="s">
        <v>60</v>
      </c>
      <c r="F52" s="14" t="s">
        <v>241</v>
      </c>
      <c r="G52" s="4">
        <v>90</v>
      </c>
      <c r="H52" s="4" t="str" cm="1">
        <f t="array" ref="H52">_xlfn.IFS(G52&gt;=95,"A",G52&gt;=90,"A-",G52&gt;=85,"B+",G52&gt;=80,"B",G52&gt;=75,"B-",G52&gt;=70,"C+",G52&gt;=65,"C",G52&gt;=60,"C-",G52&gt;=55,"D+",G52&gt;=50,"D",G52&gt;=25,"FX",G52&gt;=0,"F")</f>
        <v>A-</v>
      </c>
      <c r="I52" s="4" cm="1">
        <f t="array" ref="I52">_xlfn.IFS(G52&gt;=95,4,G52&gt;=90,3.67,G52&gt;=85,3.33,G52&gt;=80,3,G52&gt;=75,2.67,G52&gt;=70,2.33,G52&gt;=65,2,G52&gt;=60,1.67,G52&gt;=55,1.33,G52&gt;=50,1,G52&gt;=25,0.5,G52&gt;=0,0)</f>
        <v>3.67</v>
      </c>
      <c r="J52" s="4" t="s">
        <v>171</v>
      </c>
      <c r="K52" s="4" t="s">
        <v>171</v>
      </c>
      <c r="L52" s="4" t="s">
        <v>171</v>
      </c>
      <c r="M52" s="4" t="s">
        <v>137</v>
      </c>
      <c r="N52" s="3">
        <v>21</v>
      </c>
      <c r="O52" s="4" t="s">
        <v>137</v>
      </c>
      <c r="P52" s="4" t="s">
        <v>159</v>
      </c>
    </row>
    <row r="53" spans="1:16" ht="112" x14ac:dyDescent="0.2">
      <c r="A53" s="3">
        <v>52</v>
      </c>
      <c r="B53" s="3">
        <v>3</v>
      </c>
      <c r="C53" s="4" t="s">
        <v>33</v>
      </c>
      <c r="D53" s="4" t="s">
        <v>118</v>
      </c>
      <c r="E53" s="4" t="s">
        <v>61</v>
      </c>
      <c r="F53" s="14" t="s">
        <v>242</v>
      </c>
      <c r="G53" s="4">
        <v>90</v>
      </c>
      <c r="H53" s="4" t="str" cm="1">
        <f t="array" ref="H53">_xlfn.IFS(G53&gt;=95,"A",G53&gt;=90,"A-",G53&gt;=85,"B+",G53&gt;=80,"B",G53&gt;=75,"B-",G53&gt;=70,"C+",G53&gt;=65,"C",G53&gt;=60,"C-",G53&gt;=55,"D+",G53&gt;=50,"D",G53&gt;=25,"FX",G53&gt;=0,"F")</f>
        <v>A-</v>
      </c>
      <c r="I53" s="4" cm="1">
        <f t="array" ref="I53">_xlfn.IFS(G53&gt;=95,4,G53&gt;=90,3.67,G53&gt;=85,3.33,G53&gt;=80,3,G53&gt;=75,2.67,G53&gt;=70,2.33,G53&gt;=65,2,G53&gt;=60,1.67,G53&gt;=55,1.33,G53&gt;=50,1,G53&gt;=25,0.5,G53&gt;=0,0)</f>
        <v>3.67</v>
      </c>
      <c r="J53" s="4" t="s">
        <v>179</v>
      </c>
      <c r="K53" s="4" t="s">
        <v>171</v>
      </c>
      <c r="L53" s="4" t="s">
        <v>171</v>
      </c>
      <c r="M53" s="4" t="s">
        <v>137</v>
      </c>
      <c r="N53" s="3">
        <v>18</v>
      </c>
      <c r="O53" s="4" t="s">
        <v>134</v>
      </c>
      <c r="P53" s="4" t="s">
        <v>159</v>
      </c>
    </row>
    <row r="54" spans="1:16" ht="56" x14ac:dyDescent="0.2">
      <c r="A54" s="3">
        <v>53</v>
      </c>
      <c r="B54" s="3">
        <v>3</v>
      </c>
      <c r="C54" s="4" t="s">
        <v>21</v>
      </c>
      <c r="D54" s="4" t="s">
        <v>118</v>
      </c>
      <c r="E54" s="4" t="s">
        <v>62</v>
      </c>
      <c r="F54" s="14" t="s">
        <v>243</v>
      </c>
      <c r="G54" s="4">
        <v>92</v>
      </c>
      <c r="H54" s="4" t="str" cm="1">
        <f t="array" ref="H54">_xlfn.IFS(G54&gt;=95,"A",G54&gt;=90,"A-",G54&gt;=85,"B+",G54&gt;=80,"B",G54&gt;=75,"B-",G54&gt;=70,"C+",G54&gt;=65,"C",G54&gt;=60,"C-",G54&gt;=55,"D+",G54&gt;=50,"D",G54&gt;=25,"FX",G54&gt;=0,"F")</f>
        <v>A-</v>
      </c>
      <c r="I54" s="4" cm="1">
        <f t="array" ref="I54">_xlfn.IFS(G54&gt;=95,4,G54&gt;=90,3.67,G54&gt;=85,3.33,G54&gt;=80,3,G54&gt;=75,2.67,G54&gt;=70,2.33,G54&gt;=65,2,G54&gt;=60,1.67,G54&gt;=55,1.33,G54&gt;=50,1,G54&gt;=25,0.5,G54&gt;=0,0)</f>
        <v>3.67</v>
      </c>
      <c r="J54" s="4" t="s">
        <v>170</v>
      </c>
      <c r="K54" s="4" t="s">
        <v>170</v>
      </c>
      <c r="L54" s="4" t="s">
        <v>170</v>
      </c>
      <c r="M54" s="4" t="s">
        <v>137</v>
      </c>
      <c r="N54" s="3">
        <v>16</v>
      </c>
      <c r="O54" s="4" t="s">
        <v>141</v>
      </c>
      <c r="P54" s="4" t="s">
        <v>161</v>
      </c>
    </row>
    <row r="55" spans="1:16" ht="14" x14ac:dyDescent="0.2">
      <c r="A55" s="3">
        <v>54</v>
      </c>
      <c r="B55" s="3">
        <v>3</v>
      </c>
      <c r="C55" s="4" t="s">
        <v>21</v>
      </c>
      <c r="D55" s="4" t="s">
        <v>118</v>
      </c>
      <c r="E55" s="4" t="s">
        <v>63</v>
      </c>
      <c r="F55" s="14" t="s">
        <v>244</v>
      </c>
      <c r="G55" s="4">
        <v>100</v>
      </c>
      <c r="H55" s="4" t="str" cm="1">
        <f t="array" ref="H55">_xlfn.IFS(G55&gt;=95,"A",G55&gt;=90,"A-",G55&gt;=85,"B+",G55&gt;=80,"B",G55&gt;=75,"B-",G55&gt;=70,"C+",G55&gt;=65,"C",G55&gt;=60,"C-",G55&gt;=55,"D+",G55&gt;=50,"D",G55&gt;=25,"FX",G55&gt;=0,"F")</f>
        <v>A</v>
      </c>
      <c r="I55" s="4" cm="1">
        <f t="array" ref="I55">_xlfn.IFS(G55&gt;=95,4,G55&gt;=90,3.67,G55&gt;=85,3.33,G55&gt;=80,3,G55&gt;=75,2.67,G55&gt;=70,2.33,G55&gt;=65,2,G55&gt;=60,1.67,G55&gt;=55,1.33,G55&gt;=50,1,G55&gt;=25,0.5,G55&gt;=0,0)</f>
        <v>4</v>
      </c>
      <c r="J55" s="4" t="s">
        <v>170</v>
      </c>
      <c r="K55" s="4" t="s">
        <v>170</v>
      </c>
      <c r="L55" s="4" t="s">
        <v>170</v>
      </c>
      <c r="M55" s="4" t="s">
        <v>137</v>
      </c>
      <c r="N55" s="3">
        <v>24</v>
      </c>
      <c r="O55" s="4" t="s">
        <v>137</v>
      </c>
      <c r="P55" s="4" t="s">
        <v>159</v>
      </c>
    </row>
    <row r="56" spans="1:16" ht="14" x14ac:dyDescent="0.2">
      <c r="A56" s="3">
        <v>55</v>
      </c>
      <c r="B56" s="3">
        <v>3</v>
      </c>
      <c r="C56" s="4" t="s">
        <v>21</v>
      </c>
      <c r="D56" s="4" t="s">
        <v>118</v>
      </c>
      <c r="E56" s="4" t="s">
        <v>64</v>
      </c>
      <c r="F56" s="14" t="s">
        <v>245</v>
      </c>
      <c r="G56" s="4">
        <v>90</v>
      </c>
      <c r="H56" s="4" t="str" cm="1">
        <f t="array" ref="H56">_xlfn.IFS(G56&gt;=95,"A",G56&gt;=90,"A-",G56&gt;=85,"B+",G56&gt;=80,"B",G56&gt;=75,"B-",G56&gt;=70,"C+",G56&gt;=65,"C",G56&gt;=60,"C-",G56&gt;=55,"D+",G56&gt;=50,"D",G56&gt;=25,"FX",G56&gt;=0,"F")</f>
        <v>A-</v>
      </c>
      <c r="I56" s="4" cm="1">
        <f t="array" ref="I56">_xlfn.IFS(G56&gt;=95,4,G56&gt;=90,3.67,G56&gt;=85,3.33,G56&gt;=80,3,G56&gt;=75,2.67,G56&gt;=70,2.33,G56&gt;=65,2,G56&gt;=60,1.67,G56&gt;=55,1.33,G56&gt;=50,1,G56&gt;=25,0.5,G56&gt;=0,0)</f>
        <v>3.67</v>
      </c>
      <c r="J56" s="4" t="s">
        <v>170</v>
      </c>
      <c r="K56" s="4" t="s">
        <v>170</v>
      </c>
      <c r="L56" s="4" t="s">
        <v>170</v>
      </c>
      <c r="M56" s="4" t="s">
        <v>137</v>
      </c>
      <c r="N56" s="3">
        <v>20</v>
      </c>
      <c r="O56" s="4" t="s">
        <v>164</v>
      </c>
      <c r="P56" s="4" t="s">
        <v>159</v>
      </c>
    </row>
    <row r="57" spans="1:16" ht="14" x14ac:dyDescent="0.2">
      <c r="A57" s="3">
        <v>56</v>
      </c>
      <c r="B57" s="3">
        <v>3</v>
      </c>
      <c r="C57" s="4" t="s">
        <v>21</v>
      </c>
      <c r="D57" s="4" t="s">
        <v>118</v>
      </c>
      <c r="E57" s="4" t="s">
        <v>65</v>
      </c>
      <c r="F57" s="14" t="s">
        <v>246</v>
      </c>
      <c r="G57" s="4">
        <v>85</v>
      </c>
      <c r="H57" s="4" t="str" cm="1">
        <f t="array" ref="H57">_xlfn.IFS(G57&gt;=95,"A",G57&gt;=90,"A-",G57&gt;=85,"B+",G57&gt;=80,"B",G57&gt;=75,"B-",G57&gt;=70,"C+",G57&gt;=65,"C",G57&gt;=60,"C-",G57&gt;=55,"D+",G57&gt;=50,"D",G57&gt;=25,"FX",G57&gt;=0,"F")</f>
        <v>B+</v>
      </c>
      <c r="I57" s="4" cm="1">
        <f t="array" ref="I57">_xlfn.IFS(G57&gt;=95,4,G57&gt;=90,3.67,G57&gt;=85,3.33,G57&gt;=80,3,G57&gt;=75,2.67,G57&gt;=70,2.33,G57&gt;=65,2,G57&gt;=60,1.67,G57&gt;=55,1.33,G57&gt;=50,1,G57&gt;=25,0.5,G57&gt;=0,0)</f>
        <v>3.33</v>
      </c>
      <c r="J57" s="4" t="s">
        <v>170</v>
      </c>
      <c r="K57" s="4" t="s">
        <v>170</v>
      </c>
      <c r="L57" s="4" t="s">
        <v>170</v>
      </c>
      <c r="M57" s="4" t="s">
        <v>137</v>
      </c>
      <c r="N57" s="3">
        <v>16</v>
      </c>
      <c r="O57" s="4" t="s">
        <v>164</v>
      </c>
      <c r="P57" s="4" t="s">
        <v>159</v>
      </c>
    </row>
    <row r="58" spans="1:16" ht="56" x14ac:dyDescent="0.2">
      <c r="A58" s="3">
        <v>57</v>
      </c>
      <c r="B58" s="3">
        <v>3</v>
      </c>
      <c r="C58" s="4" t="s">
        <v>71</v>
      </c>
      <c r="D58" s="4" t="s">
        <v>118</v>
      </c>
      <c r="E58" s="4" t="s">
        <v>66</v>
      </c>
      <c r="F58" s="14" t="s">
        <v>247</v>
      </c>
      <c r="G58" s="6" t="s">
        <v>166</v>
      </c>
      <c r="H58" s="4" t="str" cm="1">
        <f t="array" ref="H58">_xlfn.IFS(G58&gt;=95,"A",G58&gt;=90,"A-",G58&gt;=85,"B+",G58&gt;=80,"B",G58&gt;=75,"B-",G58&gt;=70,"C+",G58&gt;=65,"C",G58&gt;=60,"C-",G58&gt;=55,"D+",G58&gt;=50,"D",G58&gt;=25,"FX",G58&gt;=0,"F")</f>
        <v>A</v>
      </c>
      <c r="I58" s="4" cm="1">
        <f t="array" ref="I58">_xlfn.IFS(G58&gt;=95,4,G58&gt;=90,3.67,G58&gt;=85,3.33,G58&gt;=80,3,G58&gt;=75,2.67,G58&gt;=70,2.33,G58&gt;=65,2,G58&gt;=60,1.67,G58&gt;=55,1.33,G58&gt;=50,1,G58&gt;=25,0.5,G58&gt;=0,0)</f>
        <v>4</v>
      </c>
      <c r="J58" s="6" t="s">
        <v>173</v>
      </c>
      <c r="K58" s="6" t="s">
        <v>173</v>
      </c>
      <c r="L58" s="6" t="s">
        <v>173</v>
      </c>
      <c r="M58" s="4" t="s">
        <v>139</v>
      </c>
      <c r="N58" s="3"/>
      <c r="O58" s="4"/>
      <c r="P58" s="4"/>
    </row>
    <row r="59" spans="1:16" ht="28" x14ac:dyDescent="0.2">
      <c r="A59" s="3">
        <v>58</v>
      </c>
      <c r="B59" s="3">
        <v>3</v>
      </c>
      <c r="C59" s="4" t="s">
        <v>71</v>
      </c>
      <c r="D59" s="4" t="s">
        <v>118</v>
      </c>
      <c r="E59" s="4" t="s">
        <v>214</v>
      </c>
      <c r="F59" s="14" t="s">
        <v>248</v>
      </c>
      <c r="G59" s="6" t="s">
        <v>166</v>
      </c>
      <c r="H59" s="4" t="str" cm="1">
        <f t="array" ref="H59">_xlfn.IFS(G59&gt;=95,"A",G59&gt;=90,"A-",G59&gt;=85,"B+",G59&gt;=80,"B",G59&gt;=75,"B-",G59&gt;=70,"C+",G59&gt;=65,"C",G59&gt;=60,"C-",G59&gt;=55,"D+",G59&gt;=50,"D",G59&gt;=25,"FX",G59&gt;=0,"F")</f>
        <v>A</v>
      </c>
      <c r="I59" s="4" cm="1">
        <f t="array" ref="I59">_xlfn.IFS(G59&gt;=95,4,G59&gt;=90,3.67,G59&gt;=85,3.33,G59&gt;=80,3,G59&gt;=75,2.67,G59&gt;=70,2.33,G59&gt;=65,2,G59&gt;=60,1.67,G59&gt;=55,1.33,G59&gt;=50,1,G59&gt;=25,0.5,G59&gt;=0,0)</f>
        <v>4</v>
      </c>
      <c r="J59" s="6" t="s">
        <v>173</v>
      </c>
      <c r="K59" s="6" t="s">
        <v>173</v>
      </c>
      <c r="L59" s="6" t="s">
        <v>173</v>
      </c>
      <c r="M59" s="4"/>
      <c r="N59" s="3"/>
      <c r="O59" s="4"/>
      <c r="P59" s="4"/>
    </row>
    <row r="60" spans="1:16" ht="56" x14ac:dyDescent="0.2">
      <c r="A60" s="3">
        <v>59</v>
      </c>
      <c r="B60" s="3">
        <v>3</v>
      </c>
      <c r="C60" s="4" t="s">
        <v>72</v>
      </c>
      <c r="D60" s="4" t="s">
        <v>118</v>
      </c>
      <c r="E60" s="4" t="s">
        <v>68</v>
      </c>
      <c r="F60" s="14" t="s">
        <v>249</v>
      </c>
      <c r="G60" s="4">
        <v>50</v>
      </c>
      <c r="H60" s="4" t="str" cm="1">
        <f t="array" ref="H60">_xlfn.IFS(G60&gt;=95,"A",G60&gt;=90,"A-",G60&gt;=85,"B+",G60&gt;=80,"B",G60&gt;=75,"B-",G60&gt;=70,"C+",G60&gt;=65,"C",G60&gt;=60,"C-",G60&gt;=55,"D+",G60&gt;=50,"D",G60&gt;=25,"FX",G60&gt;=0,"F")</f>
        <v>D</v>
      </c>
      <c r="I60" s="4" cm="1">
        <f t="array" ref="I60">_xlfn.IFS(G60&gt;=95,4,G60&gt;=90,3.67,G60&gt;=85,3.33,G60&gt;=80,3,G60&gt;=75,2.67,G60&gt;=70,2.33,G60&gt;=65,2,G60&gt;=60,1.67,G60&gt;=55,1.33,G60&gt;=50,1,G60&gt;=25,0.5,G60&gt;=0,0)</f>
        <v>1</v>
      </c>
      <c r="J60" s="4" t="s">
        <v>171</v>
      </c>
      <c r="K60" s="4" t="s">
        <v>171</v>
      </c>
      <c r="L60" s="4" t="s">
        <v>171</v>
      </c>
      <c r="M60" s="4" t="s">
        <v>137</v>
      </c>
      <c r="N60" s="3">
        <v>15</v>
      </c>
      <c r="O60" s="4" t="s">
        <v>141</v>
      </c>
      <c r="P60" s="4" t="s">
        <v>160</v>
      </c>
    </row>
    <row r="61" spans="1:16" ht="98" x14ac:dyDescent="0.2">
      <c r="A61" s="3">
        <v>60</v>
      </c>
      <c r="B61" s="3">
        <v>3</v>
      </c>
      <c r="C61" s="4" t="s">
        <v>72</v>
      </c>
      <c r="D61" s="4" t="s">
        <v>118</v>
      </c>
      <c r="E61" s="4" t="s">
        <v>69</v>
      </c>
      <c r="F61" s="14" t="s">
        <v>250</v>
      </c>
      <c r="G61" s="6" t="s">
        <v>166</v>
      </c>
      <c r="H61" s="4" t="str" cm="1">
        <f t="array" ref="H61">_xlfn.IFS(G61&gt;=95,"A",G61&gt;=90,"A-",G61&gt;=85,"B+",G61&gt;=80,"B",G61&gt;=75,"B-",G61&gt;=70,"C+",G61&gt;=65,"C",G61&gt;=60,"C-",G61&gt;=55,"D+",G61&gt;=50,"D",G61&gt;=25,"FX",G61&gt;=0,"F")</f>
        <v>A</v>
      </c>
      <c r="I61" s="4" cm="1">
        <f t="array" ref="I61">_xlfn.IFS(G61&gt;=95,4,G61&gt;=90,3.67,G61&gt;=85,3.33,G61&gt;=80,3,G61&gt;=75,2.67,G61&gt;=70,2.33,G61&gt;=65,2,G61&gt;=60,1.67,G61&gt;=55,1.33,G61&gt;=50,1,G61&gt;=25,0.5,G61&gt;=0,0)</f>
        <v>4</v>
      </c>
      <c r="J61" s="4" t="s">
        <v>170</v>
      </c>
      <c r="K61" s="4" t="s">
        <v>182</v>
      </c>
      <c r="L61" s="4" t="s">
        <v>178</v>
      </c>
      <c r="M61" s="4" t="s">
        <v>137</v>
      </c>
      <c r="N61" s="3">
        <v>16</v>
      </c>
      <c r="O61" s="4" t="s">
        <v>163</v>
      </c>
      <c r="P61" s="4" t="s">
        <v>161</v>
      </c>
    </row>
    <row r="62" spans="1:16" ht="28" x14ac:dyDescent="0.2">
      <c r="A62" s="3">
        <v>61</v>
      </c>
      <c r="B62" s="3">
        <v>3</v>
      </c>
      <c r="C62" s="4" t="s">
        <v>72</v>
      </c>
      <c r="D62" s="4" t="s">
        <v>118</v>
      </c>
      <c r="E62" s="4" t="s">
        <v>70</v>
      </c>
      <c r="F62" s="14" t="s">
        <v>251</v>
      </c>
      <c r="G62" s="6" t="s">
        <v>166</v>
      </c>
      <c r="H62" s="4" t="str" cm="1">
        <f t="array" ref="H62">_xlfn.IFS(G62&gt;=95,"A",G62&gt;=90,"A-",G62&gt;=85,"B+",G62&gt;=80,"B",G62&gt;=75,"B-",G62&gt;=70,"C+",G62&gt;=65,"C",G62&gt;=60,"C-",G62&gt;=55,"D+",G62&gt;=50,"D",G62&gt;=25,"FX",G62&gt;=0,"F")</f>
        <v>A</v>
      </c>
      <c r="I62" s="4" cm="1">
        <f t="array" ref="I62">_xlfn.IFS(G62&gt;=95,4,G62&gt;=90,3.67,G62&gt;=85,3.33,G62&gt;=80,3,G62&gt;=75,2.67,G62&gt;=70,2.33,G62&gt;=65,2,G62&gt;=60,1.67,G62&gt;=55,1.33,G62&gt;=50,1,G62&gt;=25,0.5,G62&gt;=0,0)</f>
        <v>4</v>
      </c>
      <c r="J62" s="6" t="s">
        <v>173</v>
      </c>
      <c r="K62" s="6" t="s">
        <v>173</v>
      </c>
      <c r="L62" s="6" t="s">
        <v>173</v>
      </c>
      <c r="M62" s="4"/>
      <c r="N62" s="3"/>
      <c r="O62" s="4"/>
      <c r="P62" s="4"/>
    </row>
    <row r="63" spans="1:16" ht="28" x14ac:dyDescent="0.2">
      <c r="A63" s="3">
        <v>62</v>
      </c>
      <c r="B63" s="3">
        <v>3</v>
      </c>
      <c r="C63" s="4" t="s">
        <v>33</v>
      </c>
      <c r="D63" s="4" t="s">
        <v>119</v>
      </c>
      <c r="E63" s="4" t="s">
        <v>74</v>
      </c>
      <c r="F63" s="14" t="s">
        <v>252</v>
      </c>
      <c r="G63" s="6" t="s">
        <v>166</v>
      </c>
      <c r="H63" s="4" t="str" cm="1">
        <f t="array" ref="H63">_xlfn.IFS(G63&gt;=95,"A",G63&gt;=90,"A-",G63&gt;=85,"B+",G63&gt;=80,"B",G63&gt;=75,"B-",G63&gt;=70,"C+",G63&gt;=65,"C",G63&gt;=60,"C-",G63&gt;=55,"D+",G63&gt;=50,"D",G63&gt;=25,"FX",G63&gt;=0,"F")</f>
        <v>A</v>
      </c>
      <c r="I63" s="4" cm="1">
        <f t="array" ref="I63">_xlfn.IFS(G63&gt;=95,4,G63&gt;=90,3.67,G63&gt;=85,3.33,G63&gt;=80,3,G63&gt;=75,2.67,G63&gt;=70,2.33,G63&gt;=65,2,G63&gt;=60,1.67,G63&gt;=55,1.33,G63&gt;=50,1,G63&gt;=25,0.5,G63&gt;=0,0)</f>
        <v>4</v>
      </c>
      <c r="J63" s="6" t="s">
        <v>173</v>
      </c>
      <c r="K63" s="6" t="s">
        <v>173</v>
      </c>
      <c r="L63" s="6" t="s">
        <v>173</v>
      </c>
      <c r="M63" s="4"/>
      <c r="N63" s="3"/>
      <c r="O63" s="4"/>
      <c r="P63" s="4"/>
    </row>
    <row r="64" spans="1:16" ht="28" x14ac:dyDescent="0.2">
      <c r="A64" s="3">
        <v>63</v>
      </c>
      <c r="B64" s="3">
        <v>3</v>
      </c>
      <c r="C64" s="4" t="s">
        <v>33</v>
      </c>
      <c r="D64" s="4" t="s">
        <v>119</v>
      </c>
      <c r="E64" s="4" t="s">
        <v>75</v>
      </c>
      <c r="F64" s="14" t="s">
        <v>253</v>
      </c>
      <c r="G64" s="6" t="s">
        <v>166</v>
      </c>
      <c r="H64" s="4" t="str" cm="1">
        <f t="array" ref="H64">_xlfn.IFS(G64&gt;=95,"A",G64&gt;=90,"A-",G64&gt;=85,"B+",G64&gt;=80,"B",G64&gt;=75,"B-",G64&gt;=70,"C+",G64&gt;=65,"C",G64&gt;=60,"C-",G64&gt;=55,"D+",G64&gt;=50,"D",G64&gt;=25,"FX",G64&gt;=0,"F")</f>
        <v>A</v>
      </c>
      <c r="I64" s="4" cm="1">
        <f t="array" ref="I64">_xlfn.IFS(G64&gt;=95,4,G64&gt;=90,3.67,G64&gt;=85,3.33,G64&gt;=80,3,G64&gt;=75,2.67,G64&gt;=70,2.33,G64&gt;=65,2,G64&gt;=60,1.67,G64&gt;=55,1.33,G64&gt;=50,1,G64&gt;=25,0.5,G64&gt;=0,0)</f>
        <v>4</v>
      </c>
      <c r="J64" s="6" t="s">
        <v>173</v>
      </c>
      <c r="K64" s="6" t="s">
        <v>173</v>
      </c>
      <c r="L64" s="6" t="s">
        <v>173</v>
      </c>
      <c r="M64" s="4"/>
      <c r="N64" s="3"/>
      <c r="O64" s="4"/>
      <c r="P64" s="4"/>
    </row>
    <row r="65" spans="1:16" ht="28" x14ac:dyDescent="0.2">
      <c r="A65" s="3">
        <v>64</v>
      </c>
      <c r="B65" s="3">
        <v>3</v>
      </c>
      <c r="C65" s="4" t="s">
        <v>33</v>
      </c>
      <c r="D65" s="4" t="s">
        <v>119</v>
      </c>
      <c r="E65" s="4" t="s">
        <v>76</v>
      </c>
      <c r="F65" s="14" t="s">
        <v>254</v>
      </c>
      <c r="G65" s="6">
        <v>0</v>
      </c>
      <c r="H65" s="4" t="str" cm="1">
        <f t="array" ref="H65">_xlfn.IFS(G65&gt;=95,"A",G65&gt;=90,"A-",G65&gt;=85,"B+",G65&gt;=80,"B",G65&gt;=75,"B-",G65&gt;=70,"C+",G65&gt;=65,"C",G65&gt;=60,"C-",G65&gt;=55,"D+",G65&gt;=50,"D",G65&gt;=25,"FX",G65&gt;=0,"F")</f>
        <v>F</v>
      </c>
      <c r="I65" s="4" cm="1">
        <f t="array" ref="I65">_xlfn.IFS(G65&gt;=95,4,G65&gt;=90,3.67,G65&gt;=85,3.33,G65&gt;=80,3,G65&gt;=75,2.67,G65&gt;=70,2.33,G65&gt;=65,2,G65&gt;=60,1.67,G65&gt;=55,1.33,G65&gt;=50,1,G65&gt;=25,0.5,G65&gt;=0,0)</f>
        <v>0</v>
      </c>
      <c r="J65" s="4" t="s">
        <v>172</v>
      </c>
      <c r="K65" s="4" t="s">
        <v>172</v>
      </c>
      <c r="L65" s="4" t="s">
        <v>172</v>
      </c>
      <c r="M65" s="4"/>
      <c r="N65" s="3"/>
      <c r="O65" s="4"/>
      <c r="P65" s="4"/>
    </row>
    <row r="66" spans="1:16" ht="28" x14ac:dyDescent="0.2">
      <c r="A66" s="3">
        <v>65</v>
      </c>
      <c r="B66" s="3">
        <v>3</v>
      </c>
      <c r="C66" s="4" t="s">
        <v>33</v>
      </c>
      <c r="D66" s="4" t="s">
        <v>119</v>
      </c>
      <c r="E66" s="4" t="s">
        <v>77</v>
      </c>
      <c r="F66" s="14" t="s">
        <v>255</v>
      </c>
      <c r="G66" s="6">
        <v>0</v>
      </c>
      <c r="H66" s="4" t="str" cm="1">
        <f t="array" ref="H66">_xlfn.IFS(G66&gt;=95,"A",G66&gt;=90,"A-",G66&gt;=85,"B+",G66&gt;=80,"B",G66&gt;=75,"B-",G66&gt;=70,"C+",G66&gt;=65,"C",G66&gt;=60,"C-",G66&gt;=55,"D+",G66&gt;=50,"D",G66&gt;=25,"FX",G66&gt;=0,"F")</f>
        <v>F</v>
      </c>
      <c r="I66" s="4" cm="1">
        <f t="array" ref="I66">_xlfn.IFS(G66&gt;=95,4,G66&gt;=90,3.67,G66&gt;=85,3.33,G66&gt;=80,3,G66&gt;=75,2.67,G66&gt;=70,2.33,G66&gt;=65,2,G66&gt;=60,1.67,G66&gt;=55,1.33,G66&gt;=50,1,G66&gt;=25,0.5,G66&gt;=0,0)</f>
        <v>0</v>
      </c>
      <c r="J66" s="4" t="s">
        <v>172</v>
      </c>
      <c r="K66" s="4" t="s">
        <v>172</v>
      </c>
      <c r="L66" s="4" t="s">
        <v>172</v>
      </c>
      <c r="M66" s="4"/>
      <c r="N66" s="3"/>
      <c r="O66" s="4"/>
      <c r="P66" s="4"/>
    </row>
    <row r="67" spans="1:16" ht="28" x14ac:dyDescent="0.2">
      <c r="A67" s="3">
        <v>66</v>
      </c>
      <c r="B67" s="3">
        <v>3</v>
      </c>
      <c r="C67" s="4" t="s">
        <v>33</v>
      </c>
      <c r="D67" s="4" t="s">
        <v>119</v>
      </c>
      <c r="E67" s="4" t="s">
        <v>78</v>
      </c>
      <c r="F67" s="14" t="s">
        <v>256</v>
      </c>
      <c r="G67" s="4">
        <v>75</v>
      </c>
      <c r="H67" s="4" t="str" cm="1">
        <f t="array" ref="H67">_xlfn.IFS(G67&gt;=95,"A",G67&gt;=90,"A-",G67&gt;=85,"B+",G67&gt;=80,"B",G67&gt;=75,"B-",G67&gt;=70,"C+",G67&gt;=65,"C",G67&gt;=60,"C-",G67&gt;=55,"D+",G67&gt;=50,"D",G67&gt;=25,"FX",G67&gt;=0,"F")</f>
        <v>B-</v>
      </c>
      <c r="I67" s="4" cm="1">
        <f t="array" ref="I67">_xlfn.IFS(G67&gt;=95,4,G67&gt;=90,3.67,G67&gt;=85,3.33,G67&gt;=80,3,G67&gt;=75,2.67,G67&gt;=70,2.33,G67&gt;=65,2,G67&gt;=60,1.67,G67&gt;=55,1.33,G67&gt;=50,1,G67&gt;=25,0.5,G67&gt;=0,0)</f>
        <v>2.67</v>
      </c>
      <c r="J67" s="4" t="s">
        <v>171</v>
      </c>
      <c r="K67" s="4" t="s">
        <v>171</v>
      </c>
      <c r="L67" s="4" t="s">
        <v>171</v>
      </c>
      <c r="M67" s="4" t="s">
        <v>137</v>
      </c>
      <c r="N67" s="3">
        <v>13</v>
      </c>
      <c r="O67" s="4" t="s">
        <v>134</v>
      </c>
      <c r="P67" s="4" t="s">
        <v>159</v>
      </c>
    </row>
    <row r="68" spans="1:16" ht="28" x14ac:dyDescent="0.2">
      <c r="A68" s="3">
        <v>67</v>
      </c>
      <c r="B68" s="3">
        <v>3</v>
      </c>
      <c r="C68" s="4" t="s">
        <v>33</v>
      </c>
      <c r="D68" s="4" t="s">
        <v>119</v>
      </c>
      <c r="E68" s="4" t="s">
        <v>79</v>
      </c>
      <c r="F68" s="14" t="s">
        <v>257</v>
      </c>
      <c r="G68" s="6" t="s">
        <v>166</v>
      </c>
      <c r="H68" s="4" t="str" cm="1">
        <f t="array" ref="H68">_xlfn.IFS(G68&gt;=95,"A",G68&gt;=90,"A-",G68&gt;=85,"B+",G68&gt;=80,"B",G68&gt;=75,"B-",G68&gt;=70,"C+",G68&gt;=65,"C",G68&gt;=60,"C-",G68&gt;=55,"D+",G68&gt;=50,"D",G68&gt;=25,"FX",G68&gt;=0,"F")</f>
        <v>A</v>
      </c>
      <c r="I68" s="4" cm="1">
        <f t="array" ref="I68">_xlfn.IFS(G68&gt;=95,4,G68&gt;=90,3.67,G68&gt;=85,3.33,G68&gt;=80,3,G68&gt;=75,2.67,G68&gt;=70,2.33,G68&gt;=65,2,G68&gt;=60,1.67,G68&gt;=55,1.33,G68&gt;=50,1,G68&gt;=25,0.5,G68&gt;=0,0)</f>
        <v>4</v>
      </c>
      <c r="J68" s="6" t="s">
        <v>173</v>
      </c>
      <c r="K68" s="6" t="s">
        <v>173</v>
      </c>
      <c r="L68" s="6" t="s">
        <v>173</v>
      </c>
      <c r="M68" s="4"/>
      <c r="N68" s="3"/>
      <c r="O68" s="4"/>
      <c r="P68" s="4"/>
    </row>
    <row r="69" spans="1:16" ht="28" x14ac:dyDescent="0.2">
      <c r="A69" s="3">
        <v>68</v>
      </c>
      <c r="B69" s="3">
        <v>3</v>
      </c>
      <c r="C69" s="4" t="s">
        <v>33</v>
      </c>
      <c r="D69" s="4" t="s">
        <v>119</v>
      </c>
      <c r="E69" s="4" t="s">
        <v>80</v>
      </c>
      <c r="F69" s="14" t="s">
        <v>258</v>
      </c>
      <c r="G69" s="6" t="s">
        <v>166</v>
      </c>
      <c r="H69" s="4" t="str" cm="1">
        <f t="array" ref="H69">_xlfn.IFS(G69&gt;=95,"A",G69&gt;=90,"A-",G69&gt;=85,"B+",G69&gt;=80,"B",G69&gt;=75,"B-",G69&gt;=70,"C+",G69&gt;=65,"C",G69&gt;=60,"C-",G69&gt;=55,"D+",G69&gt;=50,"D",G69&gt;=25,"FX",G69&gt;=0,"F")</f>
        <v>A</v>
      </c>
      <c r="I69" s="4" cm="1">
        <f t="array" ref="I69">_xlfn.IFS(G69&gt;=95,4,G69&gt;=90,3.67,G69&gt;=85,3.33,G69&gt;=80,3,G69&gt;=75,2.67,G69&gt;=70,2.33,G69&gt;=65,2,G69&gt;=60,1.67,G69&gt;=55,1.33,G69&gt;=50,1,G69&gt;=25,0.5,G69&gt;=0,0)</f>
        <v>4</v>
      </c>
      <c r="J69" s="6" t="s">
        <v>173</v>
      </c>
      <c r="K69" s="6" t="s">
        <v>173</v>
      </c>
      <c r="L69" s="6" t="s">
        <v>173</v>
      </c>
      <c r="M69" s="4"/>
      <c r="N69" s="3"/>
      <c r="O69" s="4"/>
      <c r="P69" s="4"/>
    </row>
    <row r="70" spans="1:16" ht="28" x14ac:dyDescent="0.2">
      <c r="A70" s="3">
        <v>69</v>
      </c>
      <c r="B70" s="3">
        <v>3</v>
      </c>
      <c r="C70" s="4" t="s">
        <v>33</v>
      </c>
      <c r="D70" s="4" t="s">
        <v>119</v>
      </c>
      <c r="E70" s="4" t="s">
        <v>81</v>
      </c>
      <c r="F70" s="14" t="s">
        <v>259</v>
      </c>
      <c r="G70" s="4">
        <v>0</v>
      </c>
      <c r="H70" s="4" t="str" cm="1">
        <f t="array" ref="H70">_xlfn.IFS(G70&gt;=95,"A",G70&gt;=90,"A-",G70&gt;=85,"B+",G70&gt;=80,"B",G70&gt;=75,"B-",G70&gt;=70,"C+",G70&gt;=65,"C",G70&gt;=60,"C-",G70&gt;=55,"D+",G70&gt;=50,"D",G70&gt;=25,"FX",G70&gt;=0,"F")</f>
        <v>F</v>
      </c>
      <c r="I70" s="4" cm="1">
        <f t="array" ref="I70">_xlfn.IFS(G70&gt;=95,4,G70&gt;=90,3.67,G70&gt;=85,3.33,G70&gt;=80,3,G70&gt;=75,2.67,G70&gt;=70,2.33,G70&gt;=65,2,G70&gt;=60,1.67,G70&gt;=55,1.33,G70&gt;=50,1,G70&gt;=25,0.5,G70&gt;=0,0)</f>
        <v>0</v>
      </c>
      <c r="J70" s="4" t="s">
        <v>172</v>
      </c>
      <c r="K70" s="4" t="s">
        <v>172</v>
      </c>
      <c r="L70" s="4" t="s">
        <v>172</v>
      </c>
      <c r="M70" s="4"/>
      <c r="N70" s="3"/>
      <c r="O70" s="4"/>
      <c r="P70" s="4"/>
    </row>
    <row r="71" spans="1:16" ht="28" x14ac:dyDescent="0.2">
      <c r="A71" s="3">
        <v>70</v>
      </c>
      <c r="B71" s="3">
        <v>3</v>
      </c>
      <c r="C71" s="4" t="s">
        <v>33</v>
      </c>
      <c r="D71" s="4" t="s">
        <v>119</v>
      </c>
      <c r="E71" s="4" t="s">
        <v>82</v>
      </c>
      <c r="F71" s="14" t="s">
        <v>260</v>
      </c>
      <c r="G71" s="4">
        <v>75</v>
      </c>
      <c r="H71" s="4" t="str" cm="1">
        <f t="array" ref="H71">_xlfn.IFS(G71&gt;=95,"A",G71&gt;=90,"A-",G71&gt;=85,"B+",G71&gt;=80,"B",G71&gt;=75,"B-",G71&gt;=70,"C+",G71&gt;=65,"C",G71&gt;=60,"C-",G71&gt;=55,"D+",G71&gt;=50,"D",G71&gt;=25,"FX",G71&gt;=0,"F")</f>
        <v>B-</v>
      </c>
      <c r="I71" s="4" cm="1">
        <f t="array" ref="I71">_xlfn.IFS(G71&gt;=95,4,G71&gt;=90,3.67,G71&gt;=85,3.33,G71&gt;=80,3,G71&gt;=75,2.67,G71&gt;=70,2.33,G71&gt;=65,2,G71&gt;=60,1.67,G71&gt;=55,1.33,G71&gt;=50,1,G71&gt;=25,0.5,G71&gt;=0,0)</f>
        <v>2.67</v>
      </c>
      <c r="J71" s="4" t="s">
        <v>171</v>
      </c>
      <c r="K71" s="4" t="s">
        <v>171</v>
      </c>
      <c r="L71" s="7" t="s">
        <v>171</v>
      </c>
      <c r="M71" s="4" t="s">
        <v>137</v>
      </c>
      <c r="N71" s="3">
        <v>21</v>
      </c>
      <c r="O71" s="4" t="s">
        <v>134</v>
      </c>
      <c r="P71" s="4" t="s">
        <v>159</v>
      </c>
    </row>
    <row r="72" spans="1:16" ht="28" x14ac:dyDescent="0.2">
      <c r="A72" s="3">
        <v>71</v>
      </c>
      <c r="B72" s="3">
        <v>3</v>
      </c>
      <c r="C72" s="4" t="s">
        <v>33</v>
      </c>
      <c r="D72" s="4" t="s">
        <v>119</v>
      </c>
      <c r="E72" s="4" t="s">
        <v>83</v>
      </c>
      <c r="F72" s="14" t="s">
        <v>261</v>
      </c>
      <c r="G72" s="4">
        <v>70</v>
      </c>
      <c r="H72" s="4" t="str" cm="1">
        <f t="array" ref="H72">_xlfn.IFS(G72&gt;=95,"A",G72&gt;=90,"A-",G72&gt;=85,"B+",G72&gt;=80,"B",G72&gt;=75,"B-",G72&gt;=70,"C+",G72&gt;=65,"C",G72&gt;=60,"C-",G72&gt;=55,"D+",G72&gt;=50,"D",G72&gt;=25,"FX",G72&gt;=0,"F")</f>
        <v>C+</v>
      </c>
      <c r="I72" s="4" cm="1">
        <f t="array" ref="I72">_xlfn.IFS(G72&gt;=95,4,G72&gt;=90,3.67,G72&gt;=85,3.33,G72&gt;=80,3,G72&gt;=75,2.67,G72&gt;=70,2.33,G72&gt;=65,2,G72&gt;=60,1.67,G72&gt;=55,1.33,G72&gt;=50,1,G72&gt;=25,0.5,G72&gt;=0,0)</f>
        <v>2.33</v>
      </c>
      <c r="J72" s="4" t="s">
        <v>171</v>
      </c>
      <c r="K72" s="4" t="s">
        <v>171</v>
      </c>
      <c r="L72" s="4" t="s">
        <v>171</v>
      </c>
      <c r="M72" s="4" t="s">
        <v>137</v>
      </c>
      <c r="N72" s="3">
        <v>11</v>
      </c>
      <c r="O72" s="4" t="s">
        <v>134</v>
      </c>
      <c r="P72" s="4" t="s">
        <v>159</v>
      </c>
    </row>
    <row r="73" spans="1:16" ht="56" x14ac:dyDescent="0.2">
      <c r="A73" s="3">
        <v>72</v>
      </c>
      <c r="B73" s="3">
        <v>3</v>
      </c>
      <c r="C73" s="4" t="s">
        <v>33</v>
      </c>
      <c r="D73" s="4" t="s">
        <v>119</v>
      </c>
      <c r="E73" s="4" t="s">
        <v>84</v>
      </c>
      <c r="F73" s="14" t="s">
        <v>262</v>
      </c>
      <c r="G73" s="4">
        <v>30</v>
      </c>
      <c r="H73" s="4" t="str" cm="1">
        <f t="array" ref="H73">_xlfn.IFS(G73&gt;=95,"A",G73&gt;=90,"A-",G73&gt;=85,"B+",G73&gt;=80,"B",G73&gt;=75,"B-",G73&gt;=70,"C+",G73&gt;=65,"C",G73&gt;=60,"C-",G73&gt;=55,"D+",G73&gt;=50,"D",G73&gt;=25,"FX",G73&gt;=0,"F")</f>
        <v>FX</v>
      </c>
      <c r="I73" s="4" cm="1">
        <f t="array" ref="I73">_xlfn.IFS(G73&gt;=95,4,G73&gt;=90,3.67,G73&gt;=85,3.33,G73&gt;=80,3,G73&gt;=75,2.67,G73&gt;=70,2.33,G73&gt;=65,2,G73&gt;=60,1.67,G73&gt;=55,1.33,G73&gt;=50,1,G73&gt;=25,0.5,G73&gt;=0,0)</f>
        <v>0.5</v>
      </c>
      <c r="J73" s="4" t="s">
        <v>171</v>
      </c>
      <c r="K73" s="4" t="s">
        <v>171</v>
      </c>
      <c r="L73" s="4" t="s">
        <v>171</v>
      </c>
      <c r="M73" s="4" t="s">
        <v>139</v>
      </c>
      <c r="N73" s="3">
        <v>4</v>
      </c>
      <c r="O73" s="4" t="s">
        <v>141</v>
      </c>
      <c r="P73" s="4" t="s">
        <v>160</v>
      </c>
    </row>
    <row r="74" spans="1:16" ht="41" customHeight="1" x14ac:dyDescent="0.2">
      <c r="A74" s="3">
        <v>73</v>
      </c>
      <c r="B74" s="3">
        <v>3</v>
      </c>
      <c r="C74" s="4" t="s">
        <v>33</v>
      </c>
      <c r="D74" s="4" t="s">
        <v>119</v>
      </c>
      <c r="E74" s="4" t="s">
        <v>85</v>
      </c>
      <c r="F74" s="14" t="s">
        <v>263</v>
      </c>
      <c r="G74" s="4">
        <v>70</v>
      </c>
      <c r="H74" s="4" t="str" cm="1">
        <f t="array" ref="H74">_xlfn.IFS(G74&gt;=95,"A",G74&gt;=90,"A-",G74&gt;=85,"B+",G74&gt;=80,"B",G74&gt;=75,"B-",G74&gt;=70,"C+",G74&gt;=65,"C",G74&gt;=60,"C-",G74&gt;=55,"D+",G74&gt;=50,"D",G74&gt;=25,"FX",G74&gt;=0,"F")</f>
        <v>C+</v>
      </c>
      <c r="I74" s="4" cm="1">
        <f t="array" ref="I74">_xlfn.IFS(G74&gt;=95,4,G74&gt;=90,3.67,G74&gt;=85,3.33,G74&gt;=80,3,G74&gt;=75,2.67,G74&gt;=70,2.33,G74&gt;=65,2,G74&gt;=60,1.67,G74&gt;=55,1.33,G74&gt;=50,1,G74&gt;=25,0.5,G74&gt;=0,0)</f>
        <v>2.33</v>
      </c>
      <c r="J74" s="4" t="s">
        <v>171</v>
      </c>
      <c r="K74" s="4" t="s">
        <v>171</v>
      </c>
      <c r="L74" s="4" t="s">
        <v>171</v>
      </c>
      <c r="M74" s="4" t="s">
        <v>137</v>
      </c>
      <c r="N74" s="3">
        <v>10</v>
      </c>
      <c r="O74" s="4" t="s">
        <v>135</v>
      </c>
      <c r="P74" s="4" t="s">
        <v>159</v>
      </c>
    </row>
    <row r="75" spans="1:16" ht="28" x14ac:dyDescent="0.2">
      <c r="A75" s="3">
        <v>74</v>
      </c>
      <c r="B75" s="3">
        <v>3</v>
      </c>
      <c r="C75" s="4" t="s">
        <v>71</v>
      </c>
      <c r="D75" s="4" t="s">
        <v>120</v>
      </c>
      <c r="E75" s="4" t="s">
        <v>86</v>
      </c>
      <c r="F75" s="14" t="s">
        <v>265</v>
      </c>
      <c r="G75" s="4">
        <v>80</v>
      </c>
      <c r="H75" s="4" t="str" cm="1">
        <f t="array" ref="H75">_xlfn.IFS(G75&gt;=95,"A",G75&gt;=90,"A-",G75&gt;=85,"B+",G75&gt;=80,"B",G75&gt;=75,"B-",G75&gt;=70,"C+",G75&gt;=65,"C",G75&gt;=60,"C-",G75&gt;=55,"D+",G75&gt;=50,"D",G75&gt;=25,"FX",G75&gt;=0,"F")</f>
        <v>B</v>
      </c>
      <c r="I75" s="4" cm="1">
        <f t="array" ref="I75">_xlfn.IFS(G75&gt;=95,4,G75&gt;=90,3.67,G75&gt;=85,3.33,G75&gt;=80,3,G75&gt;=75,2.67,G75&gt;=70,2.33,G75&gt;=65,2,G75&gt;=60,1.67,G75&gt;=55,1.33,G75&gt;=50,1,G75&gt;=25,0.5,G75&gt;=0,0)</f>
        <v>3</v>
      </c>
      <c r="J75" s="4" t="s">
        <v>174</v>
      </c>
      <c r="K75" s="4" t="s">
        <v>174</v>
      </c>
      <c r="L75" s="4" t="s">
        <v>174</v>
      </c>
      <c r="M75" s="4" t="s">
        <v>137</v>
      </c>
      <c r="N75" s="3"/>
      <c r="O75" s="4"/>
      <c r="P75" s="4"/>
    </row>
    <row r="76" spans="1:16" ht="28" x14ac:dyDescent="0.2">
      <c r="A76" s="3">
        <v>75</v>
      </c>
      <c r="B76" s="3">
        <v>3</v>
      </c>
      <c r="C76" s="4" t="s">
        <v>71</v>
      </c>
      <c r="D76" s="4" t="s">
        <v>120</v>
      </c>
      <c r="E76" s="4" t="s">
        <v>87</v>
      </c>
      <c r="F76" s="14" t="s">
        <v>266</v>
      </c>
      <c r="G76" s="4">
        <v>85</v>
      </c>
      <c r="H76" s="4" t="str" cm="1">
        <f t="array" ref="H76">_xlfn.IFS(G76&gt;=95,"A",G76&gt;=90,"A-",G76&gt;=85,"B+",G76&gt;=80,"B",G76&gt;=75,"B-",G76&gt;=70,"C+",G76&gt;=65,"C",G76&gt;=60,"C-",G76&gt;=55,"D+",G76&gt;=50,"D",G76&gt;=25,"FX",G76&gt;=0,"F")</f>
        <v>B+</v>
      </c>
      <c r="I76" s="4" cm="1">
        <f t="array" ref="I76">_xlfn.IFS(G76&gt;=95,4,G76&gt;=90,3.67,G76&gt;=85,3.33,G76&gt;=80,3,G76&gt;=75,2.67,G76&gt;=70,2.33,G76&gt;=65,2,G76&gt;=60,1.67,G76&gt;=55,1.33,G76&gt;=50,1,G76&gt;=25,0.5,G76&gt;=0,0)</f>
        <v>3.33</v>
      </c>
      <c r="J76" s="4" t="s">
        <v>171</v>
      </c>
      <c r="K76" s="4" t="s">
        <v>171</v>
      </c>
      <c r="L76" s="4" t="s">
        <v>171</v>
      </c>
      <c r="M76" s="4" t="s">
        <v>137</v>
      </c>
      <c r="N76" s="3">
        <v>11</v>
      </c>
      <c r="O76" s="4" t="s">
        <v>135</v>
      </c>
      <c r="P76" s="4" t="s">
        <v>159</v>
      </c>
    </row>
    <row r="77" spans="1:16" ht="28" x14ac:dyDescent="0.2">
      <c r="A77" s="3">
        <v>76</v>
      </c>
      <c r="B77" s="3">
        <v>3</v>
      </c>
      <c r="C77" s="4" t="s">
        <v>71</v>
      </c>
      <c r="D77" s="4" t="s">
        <v>120</v>
      </c>
      <c r="E77" s="4" t="s">
        <v>88</v>
      </c>
      <c r="F77" s="14" t="s">
        <v>267</v>
      </c>
      <c r="G77" s="4">
        <v>90</v>
      </c>
      <c r="H77" s="4" t="str" cm="1">
        <f t="array" ref="H77">_xlfn.IFS(G77&gt;=95,"A",G77&gt;=90,"A-",G77&gt;=85,"B+",G77&gt;=80,"B",G77&gt;=75,"B-",G77&gt;=70,"C+",G77&gt;=65,"C",G77&gt;=60,"C-",G77&gt;=55,"D+",G77&gt;=50,"D",G77&gt;=25,"FX",G77&gt;=0,"F")</f>
        <v>A-</v>
      </c>
      <c r="I77" s="4" cm="1">
        <f t="array" ref="I77">_xlfn.IFS(G77&gt;=95,4,G77&gt;=90,3.67,G77&gt;=85,3.33,G77&gt;=80,3,G77&gt;=75,2.67,G77&gt;=70,2.33,G77&gt;=65,2,G77&gt;=60,1.67,G77&gt;=55,1.33,G77&gt;=50,1,G77&gt;=25,0.5,G77&gt;=0,0)</f>
        <v>3.67</v>
      </c>
      <c r="J77" s="4" t="s">
        <v>170</v>
      </c>
      <c r="K77" s="4" t="s">
        <v>170</v>
      </c>
      <c r="L77" s="4" t="s">
        <v>170</v>
      </c>
      <c r="M77" s="4" t="s">
        <v>137</v>
      </c>
      <c r="N77" s="3">
        <v>25</v>
      </c>
      <c r="O77" s="4" t="s">
        <v>134</v>
      </c>
      <c r="P77" s="4" t="s">
        <v>159</v>
      </c>
    </row>
    <row r="78" spans="1:16" ht="28" x14ac:dyDescent="0.2">
      <c r="A78" s="3">
        <v>77</v>
      </c>
      <c r="B78" s="3">
        <v>3</v>
      </c>
      <c r="C78" s="4" t="s">
        <v>71</v>
      </c>
      <c r="D78" s="4" t="s">
        <v>120</v>
      </c>
      <c r="E78" s="4" t="s">
        <v>89</v>
      </c>
      <c r="F78" s="14" t="s">
        <v>268</v>
      </c>
      <c r="G78" s="12" t="s">
        <v>166</v>
      </c>
      <c r="H78" s="4" t="str" cm="1">
        <f t="array" ref="H78">_xlfn.IFS(G78&gt;=95,"A",G78&gt;=90,"A-",G78&gt;=85,"B+",G78&gt;=80,"B",G78&gt;=75,"B-",G78&gt;=70,"C+",G78&gt;=65,"C",G78&gt;=60,"C-",G78&gt;=55,"D+",G78&gt;=50,"D",G78&gt;=25,"FX",G78&gt;=0,"F")</f>
        <v>A</v>
      </c>
      <c r="I78" s="4" cm="1">
        <f t="array" ref="I78">_xlfn.IFS(G78&gt;=95,4,G78&gt;=90,3.67,G78&gt;=85,3.33,G78&gt;=80,3,G78&gt;=75,2.67,G78&gt;=70,2.33,G78&gt;=65,2,G78&gt;=60,1.67,G78&gt;=55,1.33,G78&gt;=50,1,G78&gt;=25,0.5,G78&gt;=0,0)</f>
        <v>4</v>
      </c>
      <c r="J78" s="6" t="s">
        <v>173</v>
      </c>
      <c r="K78" s="6" t="s">
        <v>173</v>
      </c>
      <c r="L78" s="6" t="s">
        <v>173</v>
      </c>
      <c r="M78" s="4"/>
      <c r="N78" s="3"/>
      <c r="O78" s="4"/>
      <c r="P78" s="4"/>
    </row>
    <row r="79" spans="1:16" ht="28" x14ac:dyDescent="0.2">
      <c r="A79" s="3">
        <v>78</v>
      </c>
      <c r="B79" s="3">
        <v>3</v>
      </c>
      <c r="C79" s="4" t="s">
        <v>71</v>
      </c>
      <c r="D79" s="4" t="s">
        <v>120</v>
      </c>
      <c r="E79" s="4" t="s">
        <v>90</v>
      </c>
      <c r="F79" s="14" t="s">
        <v>269</v>
      </c>
      <c r="G79" s="12" t="s">
        <v>166</v>
      </c>
      <c r="H79" s="4" t="str" cm="1">
        <f t="array" ref="H79">_xlfn.IFS(G79&gt;=95,"A",G79&gt;=90,"A-",G79&gt;=85,"B+",G79&gt;=80,"B",G79&gt;=75,"B-",G79&gt;=70,"C+",G79&gt;=65,"C",G79&gt;=60,"C-",G79&gt;=55,"D+",G79&gt;=50,"D",G79&gt;=25,"FX",G79&gt;=0,"F")</f>
        <v>A</v>
      </c>
      <c r="I79" s="4" cm="1">
        <f t="array" ref="I79">_xlfn.IFS(G79&gt;=95,4,G79&gt;=90,3.67,G79&gt;=85,3.33,G79&gt;=80,3,G79&gt;=75,2.67,G79&gt;=70,2.33,G79&gt;=65,2,G79&gt;=60,1.67,G79&gt;=55,1.33,G79&gt;=50,1,G79&gt;=25,0.5,G79&gt;=0,0)</f>
        <v>4</v>
      </c>
      <c r="J79" s="6" t="s">
        <v>173</v>
      </c>
      <c r="K79" s="6" t="s">
        <v>173</v>
      </c>
      <c r="L79" s="6" t="s">
        <v>173</v>
      </c>
      <c r="M79" s="4"/>
      <c r="N79" s="3"/>
      <c r="O79" s="4"/>
      <c r="P79" s="4"/>
    </row>
    <row r="80" spans="1:16" ht="56" x14ac:dyDescent="0.2">
      <c r="A80" s="3">
        <v>80</v>
      </c>
      <c r="B80" s="3">
        <v>3</v>
      </c>
      <c r="C80" s="4" t="s">
        <v>72</v>
      </c>
      <c r="D80" s="4" t="s">
        <v>120</v>
      </c>
      <c r="E80" s="4" t="s">
        <v>91</v>
      </c>
      <c r="F80" s="14" t="s">
        <v>270</v>
      </c>
      <c r="G80" s="4">
        <v>70</v>
      </c>
      <c r="H80" s="4" t="str" cm="1">
        <f t="array" ref="H80">_xlfn.IFS(G80&gt;=95,"A",G80&gt;=90,"A-",G80&gt;=85,"B+",G80&gt;=80,"B",G80&gt;=75,"B-",G80&gt;=70,"C+",G80&gt;=65,"C",G80&gt;=60,"C-",G80&gt;=55,"D+",G80&gt;=50,"D",G80&gt;=25,"FX",G80&gt;=0,"F")</f>
        <v>C+</v>
      </c>
      <c r="I80" s="4" cm="1">
        <f t="array" ref="I80">_xlfn.IFS(G80&gt;=95,4,G80&gt;=90,3.67,G80&gt;=85,3.33,G80&gt;=80,3,G80&gt;=75,2.67,G80&gt;=70,2.33,G80&gt;=65,2,G80&gt;=60,1.67,G80&gt;=55,1.33,G80&gt;=50,1,G80&gt;=25,0.5,G80&gt;=0,0)</f>
        <v>2.33</v>
      </c>
      <c r="J80" s="4" t="s">
        <v>170</v>
      </c>
      <c r="K80" s="4" t="s">
        <v>170</v>
      </c>
      <c r="L80" s="4" t="s">
        <v>170</v>
      </c>
      <c r="M80" s="4" t="s">
        <v>137</v>
      </c>
      <c r="N80" s="3">
        <v>6</v>
      </c>
      <c r="O80" s="4" t="s">
        <v>141</v>
      </c>
      <c r="P80" s="4" t="s">
        <v>160</v>
      </c>
    </row>
    <row r="81" spans="1:16" ht="28" x14ac:dyDescent="0.2">
      <c r="A81" s="3">
        <v>81</v>
      </c>
      <c r="B81" s="3">
        <v>3</v>
      </c>
      <c r="C81" s="4" t="s">
        <v>72</v>
      </c>
      <c r="D81" s="4" t="s">
        <v>120</v>
      </c>
      <c r="E81" s="4" t="s">
        <v>92</v>
      </c>
      <c r="F81" s="14" t="s">
        <v>271</v>
      </c>
      <c r="G81" s="12" t="s">
        <v>166</v>
      </c>
      <c r="H81" s="4" t="str" cm="1">
        <f t="array" ref="H81">_xlfn.IFS(G81&gt;=95,"A",G81&gt;=90,"A-",G81&gt;=85,"B+",G81&gt;=80,"B",G81&gt;=75,"B-",G81&gt;=70,"C+",G81&gt;=65,"C",G81&gt;=60,"C-",G81&gt;=55,"D+",G81&gt;=50,"D",G81&gt;=25,"FX",G81&gt;=0,"F")</f>
        <v>A</v>
      </c>
      <c r="I81" s="4" cm="1">
        <f t="array" ref="I81">_xlfn.IFS(G81&gt;=95,4,G81&gt;=90,3.67,G81&gt;=85,3.33,G81&gt;=80,3,G81&gt;=75,2.67,G81&gt;=70,2.33,G81&gt;=65,2,G81&gt;=60,1.67,G81&gt;=55,1.33,G81&gt;=50,1,G81&gt;=25,0.5,G81&gt;=0,0)</f>
        <v>4</v>
      </c>
      <c r="J81" s="6" t="s">
        <v>173</v>
      </c>
      <c r="K81" s="6" t="s">
        <v>173</v>
      </c>
      <c r="L81" s="6" t="s">
        <v>173</v>
      </c>
      <c r="M81" s="4"/>
      <c r="N81" s="3"/>
      <c r="O81" s="4"/>
      <c r="P81" s="4"/>
    </row>
    <row r="82" spans="1:16" ht="28" x14ac:dyDescent="0.2">
      <c r="A82" s="3">
        <v>82</v>
      </c>
      <c r="B82" s="3">
        <v>3</v>
      </c>
      <c r="C82" s="4" t="s">
        <v>72</v>
      </c>
      <c r="D82" s="4" t="s">
        <v>120</v>
      </c>
      <c r="E82" s="4" t="s">
        <v>264</v>
      </c>
      <c r="F82" s="14" t="s">
        <v>272</v>
      </c>
      <c r="G82" s="12" t="s">
        <v>166</v>
      </c>
      <c r="H82" s="4" t="str" cm="1">
        <f t="array" ref="H82">_xlfn.IFS(G82&gt;=95,"A",G82&gt;=90,"A-",G82&gt;=85,"B+",G82&gt;=80,"B",G82&gt;=75,"B-",G82&gt;=70,"C+",G82&gt;=65,"C",G82&gt;=60,"C-",G82&gt;=55,"D+",G82&gt;=50,"D",G82&gt;=25,"FX",G82&gt;=0,"F")</f>
        <v>A</v>
      </c>
      <c r="I82" s="4" cm="1">
        <f t="array" ref="I82">_xlfn.IFS(G82&gt;=95,4,G82&gt;=90,3.67,G82&gt;=85,3.33,G82&gt;=80,3,G82&gt;=75,2.67,G82&gt;=70,2.33,G82&gt;=65,2,G82&gt;=60,1.67,G82&gt;=55,1.33,G82&gt;=50,1,G82&gt;=25,0.5,G82&gt;=0,0)</f>
        <v>4</v>
      </c>
      <c r="J82" s="4" t="s">
        <v>170</v>
      </c>
      <c r="K82" s="4" t="s">
        <v>170</v>
      </c>
      <c r="L82" s="6" t="s">
        <v>173</v>
      </c>
      <c r="M82" s="4"/>
      <c r="N82" s="3"/>
      <c r="O82" s="4"/>
      <c r="P82" s="4"/>
    </row>
    <row r="83" spans="1:16" ht="84" x14ac:dyDescent="0.2">
      <c r="A83" s="3">
        <v>83</v>
      </c>
      <c r="B83" s="3">
        <v>3</v>
      </c>
      <c r="C83" s="4" t="s">
        <v>72</v>
      </c>
      <c r="D83" s="4" t="s">
        <v>120</v>
      </c>
      <c r="E83" s="4" t="s">
        <v>94</v>
      </c>
      <c r="F83" s="14" t="s">
        <v>273</v>
      </c>
      <c r="G83" s="4">
        <v>50</v>
      </c>
      <c r="H83" s="4" t="str" cm="1">
        <f t="array" ref="H83">_xlfn.IFS(G83&gt;=95,"A",G83&gt;=90,"A-",G83&gt;=85,"B+",G83&gt;=80,"B",G83&gt;=75,"B-",G83&gt;=70,"C+",G83&gt;=65,"C",G83&gt;=60,"C-",G83&gt;=55,"D+",G83&gt;=50,"D",G83&gt;=25,"FX",G83&gt;=0,"F")</f>
        <v>D</v>
      </c>
      <c r="I83" s="4" cm="1">
        <f t="array" ref="I83">_xlfn.IFS(G83&gt;=95,4,G83&gt;=90,3.67,G83&gt;=85,3.33,G83&gt;=80,3,G83&gt;=75,2.67,G83&gt;=70,2.33,G83&gt;=65,2,G83&gt;=60,1.67,G83&gt;=55,1.33,G83&gt;=50,1,G83&gt;=25,0.5,G83&gt;=0,0)</f>
        <v>1</v>
      </c>
      <c r="J83" s="4" t="s">
        <v>171</v>
      </c>
      <c r="K83" s="4" t="s">
        <v>180</v>
      </c>
      <c r="L83" s="4" t="s">
        <v>171</v>
      </c>
      <c r="M83" s="4" t="s">
        <v>139</v>
      </c>
      <c r="N83" s="3">
        <v>8</v>
      </c>
      <c r="O83" s="4" t="s">
        <v>144</v>
      </c>
      <c r="P83" s="4" t="s">
        <v>160</v>
      </c>
    </row>
    <row r="84" spans="1:16" ht="56" x14ac:dyDescent="0.2">
      <c r="A84" s="3">
        <v>84</v>
      </c>
      <c r="B84" s="3">
        <v>3</v>
      </c>
      <c r="C84" s="4" t="s">
        <v>72</v>
      </c>
      <c r="D84" s="4" t="s">
        <v>120</v>
      </c>
      <c r="E84" s="4" t="s">
        <v>95</v>
      </c>
      <c r="F84" s="14" t="s">
        <v>274</v>
      </c>
      <c r="G84" s="4">
        <v>70</v>
      </c>
      <c r="H84" s="4" t="str" cm="1">
        <f t="array" ref="H84">_xlfn.IFS(G84&gt;=95,"A",G84&gt;=90,"A-",G84&gt;=85,"B+",G84&gt;=80,"B",G84&gt;=75,"B-",G84&gt;=70,"C+",G84&gt;=65,"C",G84&gt;=60,"C-",G84&gt;=55,"D+",G84&gt;=50,"D",G84&gt;=25,"FX",G84&gt;=0,"F")</f>
        <v>C+</v>
      </c>
      <c r="I84" s="4" cm="1">
        <f t="array" ref="I84">_xlfn.IFS(G84&gt;=95,4,G84&gt;=90,3.67,G84&gt;=85,3.33,G84&gt;=80,3,G84&gt;=75,2.67,G84&gt;=70,2.33,G84&gt;=65,2,G84&gt;=60,1.67,G84&gt;=55,1.33,G84&gt;=50,1,G84&gt;=25,0.5,G84&gt;=0,0)</f>
        <v>2.33</v>
      </c>
      <c r="J84" s="4" t="s">
        <v>171</v>
      </c>
      <c r="K84" s="4" t="s">
        <v>171</v>
      </c>
      <c r="L84" s="4" t="s">
        <v>171</v>
      </c>
      <c r="M84" s="4" t="s">
        <v>139</v>
      </c>
      <c r="N84" s="3">
        <v>18</v>
      </c>
      <c r="O84" s="4" t="s">
        <v>145</v>
      </c>
      <c r="P84" s="4" t="s">
        <v>159</v>
      </c>
    </row>
    <row r="85" spans="1:16" ht="28" x14ac:dyDescent="0.2">
      <c r="A85" s="3">
        <v>85</v>
      </c>
      <c r="B85" s="3">
        <v>1</v>
      </c>
      <c r="C85" s="4" t="s">
        <v>101</v>
      </c>
      <c r="D85" s="4" t="s">
        <v>100</v>
      </c>
      <c r="E85" s="4" t="s">
        <v>102</v>
      </c>
      <c r="F85" s="14" t="s">
        <v>275</v>
      </c>
      <c r="G85" s="4">
        <v>90</v>
      </c>
      <c r="H85" s="4" t="str" cm="1">
        <f t="array" ref="H85">_xlfn.IFS(G85&gt;=95,"A",G85&gt;=90,"A-",G85&gt;=85,"B+",G85&gt;=80,"B",G85&gt;=75,"B-",G85&gt;=70,"C+",G85&gt;=65,"C",G85&gt;=60,"C-",G85&gt;=55,"D+",G85&gt;=50,"D",G85&gt;=25,"FX",G85&gt;=0,"F")</f>
        <v>A-</v>
      </c>
      <c r="I85" s="4" cm="1">
        <f t="array" ref="I85">_xlfn.IFS(G85&gt;=95,4,G85&gt;=90,3.67,G85&gt;=85,3.33,G85&gt;=80,3,G85&gt;=75,2.67,G85&gt;=70,2.33,G85&gt;=65,2,G85&gt;=60,1.67,G85&gt;=55,1.33,G85&gt;=50,1,G85&gt;=25,0.5,G85&gt;=0,0)</f>
        <v>3.67</v>
      </c>
      <c r="J85" s="4" t="s">
        <v>170</v>
      </c>
      <c r="K85" s="4" t="s">
        <v>170</v>
      </c>
      <c r="L85" s="4" t="s">
        <v>170</v>
      </c>
      <c r="M85" s="4" t="s">
        <v>137</v>
      </c>
      <c r="N85" s="3">
        <v>14</v>
      </c>
      <c r="O85" s="4" t="s">
        <v>165</v>
      </c>
      <c r="P85" s="4" t="s">
        <v>159</v>
      </c>
    </row>
    <row r="86" spans="1:16" ht="28" x14ac:dyDescent="0.2">
      <c r="A86" s="3">
        <v>86</v>
      </c>
      <c r="B86" s="3">
        <v>1</v>
      </c>
      <c r="C86" s="4" t="s">
        <v>101</v>
      </c>
      <c r="D86" s="4" t="s">
        <v>100</v>
      </c>
      <c r="E86" s="4" t="s">
        <v>103</v>
      </c>
      <c r="F86" s="14" t="s">
        <v>276</v>
      </c>
      <c r="G86" s="4">
        <v>95</v>
      </c>
      <c r="H86" s="4" t="str" cm="1">
        <f t="array" ref="H86">_xlfn.IFS(G86&gt;=95,"A",G86&gt;=90,"A-",G86&gt;=85,"B+",G86&gt;=80,"B",G86&gt;=75,"B-",G86&gt;=70,"C+",G86&gt;=65,"C",G86&gt;=60,"C-",G86&gt;=55,"D+",G86&gt;=50,"D",G86&gt;=25,"FX",G86&gt;=0,"F")</f>
        <v>A</v>
      </c>
      <c r="I86" s="4" cm="1">
        <f t="array" ref="I86">_xlfn.IFS(G86&gt;=95,4,G86&gt;=90,3.67,G86&gt;=85,3.33,G86&gt;=80,3,G86&gt;=75,2.67,G86&gt;=70,2.33,G86&gt;=65,2,G86&gt;=60,1.67,G86&gt;=55,1.33,G86&gt;=50,1,G86&gt;=25,0.5,G86&gt;=0,0)</f>
        <v>4</v>
      </c>
      <c r="J86" s="4" t="s">
        <v>170</v>
      </c>
      <c r="K86" s="4" t="s">
        <v>170</v>
      </c>
      <c r="L86" s="4" t="s">
        <v>170</v>
      </c>
      <c r="M86" s="4" t="s">
        <v>137</v>
      </c>
      <c r="N86" s="3">
        <v>13</v>
      </c>
      <c r="O86" s="4" t="s">
        <v>165</v>
      </c>
      <c r="P86" s="4" t="s">
        <v>159</v>
      </c>
    </row>
    <row r="87" spans="1:16" ht="28" x14ac:dyDescent="0.2">
      <c r="A87" s="3">
        <v>87</v>
      </c>
      <c r="B87" s="3">
        <v>1</v>
      </c>
      <c r="C87" s="4" t="s">
        <v>101</v>
      </c>
      <c r="D87" s="4" t="s">
        <v>100</v>
      </c>
      <c r="E87" s="4" t="s">
        <v>104</v>
      </c>
      <c r="F87" s="14" t="s">
        <v>277</v>
      </c>
      <c r="G87" s="4">
        <v>75</v>
      </c>
      <c r="H87" s="4" t="str" cm="1">
        <f t="array" ref="H87">_xlfn.IFS(G87&gt;=95,"A",G87&gt;=90,"A-",G87&gt;=85,"B+",G87&gt;=80,"B",G87&gt;=75,"B-",G87&gt;=70,"C+",G87&gt;=65,"C",G87&gt;=60,"C-",G87&gt;=55,"D+",G87&gt;=50,"D",G87&gt;=25,"FX",G87&gt;=0,"F")</f>
        <v>B-</v>
      </c>
      <c r="I87" s="4" cm="1">
        <f t="array" ref="I87">_xlfn.IFS(G87&gt;=95,4,G87&gt;=90,3.67,G87&gt;=85,3.33,G87&gt;=80,3,G87&gt;=75,2.67,G87&gt;=70,2.33,G87&gt;=65,2,G87&gt;=60,1.67,G87&gt;=55,1.33,G87&gt;=50,1,G87&gt;=25,0.5,G87&gt;=0,0)</f>
        <v>2.67</v>
      </c>
      <c r="J87" s="4" t="s">
        <v>170</v>
      </c>
      <c r="K87" s="4" t="s">
        <v>170</v>
      </c>
      <c r="L87" s="4" t="s">
        <v>170</v>
      </c>
      <c r="M87" s="4" t="s">
        <v>137</v>
      </c>
      <c r="N87" s="3">
        <v>18</v>
      </c>
      <c r="O87" s="4" t="s">
        <v>134</v>
      </c>
      <c r="P87" s="4" t="s">
        <v>159</v>
      </c>
    </row>
    <row r="88" spans="1:16" ht="28" x14ac:dyDescent="0.2">
      <c r="A88" s="3">
        <v>88</v>
      </c>
      <c r="B88" s="3">
        <v>1</v>
      </c>
      <c r="C88" s="4" t="s">
        <v>101</v>
      </c>
      <c r="D88" s="4" t="s">
        <v>100</v>
      </c>
      <c r="E88" s="4" t="s">
        <v>105</v>
      </c>
      <c r="F88" s="14" t="s">
        <v>278</v>
      </c>
      <c r="G88" s="4">
        <v>95</v>
      </c>
      <c r="H88" s="4" t="str" cm="1">
        <f t="array" ref="H88">_xlfn.IFS(G88&gt;=95,"A",G88&gt;=90,"A-",G88&gt;=85,"B+",G88&gt;=80,"B",G88&gt;=75,"B-",G88&gt;=70,"C+",G88&gt;=65,"C",G88&gt;=60,"C-",G88&gt;=55,"D+",G88&gt;=50,"D",G88&gt;=25,"FX",G88&gt;=0,"F")</f>
        <v>A</v>
      </c>
      <c r="I88" s="4" cm="1">
        <f t="array" ref="I88">_xlfn.IFS(G88&gt;=95,4,G88&gt;=90,3.67,G88&gt;=85,3.33,G88&gt;=80,3,G88&gt;=75,2.67,G88&gt;=70,2.33,G88&gt;=65,2,G88&gt;=60,1.67,G88&gt;=55,1.33,G88&gt;=50,1,G88&gt;=25,0.5,G88&gt;=0,0)</f>
        <v>4</v>
      </c>
      <c r="J88" s="4" t="s">
        <v>170</v>
      </c>
      <c r="K88" s="4" t="s">
        <v>170</v>
      </c>
      <c r="L88" s="4" t="s">
        <v>170</v>
      </c>
      <c r="M88" s="4" t="s">
        <v>137</v>
      </c>
      <c r="N88" s="3">
        <v>19</v>
      </c>
      <c r="O88" s="4" t="s">
        <v>165</v>
      </c>
      <c r="P88" s="4" t="s">
        <v>159</v>
      </c>
    </row>
    <row r="89" spans="1:16" ht="28" x14ac:dyDescent="0.2">
      <c r="A89" s="3">
        <v>89</v>
      </c>
      <c r="B89" s="3">
        <v>1</v>
      </c>
      <c r="C89" s="4" t="s">
        <v>101</v>
      </c>
      <c r="D89" s="4" t="s">
        <v>100</v>
      </c>
      <c r="E89" s="4" t="s">
        <v>106</v>
      </c>
      <c r="F89" s="14" t="s">
        <v>279</v>
      </c>
      <c r="G89" s="4">
        <v>75</v>
      </c>
      <c r="H89" s="4" t="str" cm="1">
        <f t="array" ref="H89">_xlfn.IFS(G89&gt;=95,"A",G89&gt;=90,"A-",G89&gt;=85,"B+",G89&gt;=80,"B",G89&gt;=75,"B-",G89&gt;=70,"C+",G89&gt;=65,"C",G89&gt;=60,"C-",G89&gt;=55,"D+",G89&gt;=50,"D",G89&gt;=25,"FX",G89&gt;=0,"F")</f>
        <v>B-</v>
      </c>
      <c r="I89" s="4" cm="1">
        <f t="array" ref="I89">_xlfn.IFS(G89&gt;=95,4,G89&gt;=90,3.67,G89&gt;=85,3.33,G89&gt;=80,3,G89&gt;=75,2.67,G89&gt;=70,2.33,G89&gt;=65,2,G89&gt;=60,1.67,G89&gt;=55,1.33,G89&gt;=50,1,G89&gt;=25,0.5,G89&gt;=0,0)</f>
        <v>2.67</v>
      </c>
      <c r="J89" s="4" t="s">
        <v>170</v>
      </c>
      <c r="K89" s="4" t="s">
        <v>170</v>
      </c>
      <c r="L89" s="4" t="s">
        <v>170</v>
      </c>
      <c r="M89" s="4" t="s">
        <v>137</v>
      </c>
      <c r="N89" s="3">
        <v>17</v>
      </c>
      <c r="O89" s="4" t="s">
        <v>165</v>
      </c>
      <c r="P89" s="4" t="s">
        <v>159</v>
      </c>
    </row>
    <row r="90" spans="1:16" ht="28" x14ac:dyDescent="0.2">
      <c r="A90" s="3">
        <v>90</v>
      </c>
      <c r="B90" s="3">
        <v>1</v>
      </c>
      <c r="C90" s="4" t="s">
        <v>101</v>
      </c>
      <c r="D90" s="4" t="s">
        <v>100</v>
      </c>
      <c r="E90" s="4" t="s">
        <v>107</v>
      </c>
      <c r="F90" s="14" t="s">
        <v>280</v>
      </c>
      <c r="G90" s="4">
        <v>75</v>
      </c>
      <c r="H90" s="4" t="str" cm="1">
        <f t="array" ref="H90">_xlfn.IFS(G90&gt;=95,"A",G90&gt;=90,"A-",G90&gt;=85,"B+",G90&gt;=80,"B",G90&gt;=75,"B-",G90&gt;=70,"C+",G90&gt;=65,"C",G90&gt;=60,"C-",G90&gt;=55,"D+",G90&gt;=50,"D",G90&gt;=25,"FX",G90&gt;=0,"F")</f>
        <v>B-</v>
      </c>
      <c r="I90" s="4" cm="1">
        <f t="array" ref="I90">_xlfn.IFS(G90&gt;=95,4,G90&gt;=90,3.67,G90&gt;=85,3.33,G90&gt;=80,3,G90&gt;=75,2.67,G90&gt;=70,2.33,G90&gt;=65,2,G90&gt;=60,1.67,G90&gt;=55,1.33,G90&gt;=50,1,G90&gt;=25,0.5,G90&gt;=0,0)</f>
        <v>2.67</v>
      </c>
      <c r="J90" s="4" t="s">
        <v>170</v>
      </c>
      <c r="K90" s="4" t="s">
        <v>170</v>
      </c>
      <c r="L90" s="4" t="s">
        <v>170</v>
      </c>
      <c r="M90" s="4" t="s">
        <v>137</v>
      </c>
      <c r="N90" s="3">
        <v>16</v>
      </c>
      <c r="O90" s="4" t="s">
        <v>134</v>
      </c>
      <c r="P90" s="4" t="s">
        <v>159</v>
      </c>
    </row>
    <row r="91" spans="1:16" ht="28" x14ac:dyDescent="0.2">
      <c r="A91" s="3">
        <v>91</v>
      </c>
      <c r="B91" s="3">
        <v>1</v>
      </c>
      <c r="C91" s="4" t="s">
        <v>101</v>
      </c>
      <c r="D91" s="4" t="s">
        <v>100</v>
      </c>
      <c r="E91" s="4" t="s">
        <v>108</v>
      </c>
      <c r="F91" s="14" t="s">
        <v>281</v>
      </c>
      <c r="G91" s="4">
        <v>90</v>
      </c>
      <c r="H91" s="4" t="str" cm="1">
        <f t="array" ref="H91">_xlfn.IFS(G91&gt;=95,"A",G91&gt;=90,"A-",G91&gt;=85,"B+",G91&gt;=80,"B",G91&gt;=75,"B-",G91&gt;=70,"C+",G91&gt;=65,"C",G91&gt;=60,"C-",G91&gt;=55,"D+",G91&gt;=50,"D",G91&gt;=25,"FX",G91&gt;=0,"F")</f>
        <v>A-</v>
      </c>
      <c r="I91" s="4" cm="1">
        <f t="array" ref="I91">_xlfn.IFS(G91&gt;=95,4,G91&gt;=90,3.67,G91&gt;=85,3.33,G91&gt;=80,3,G91&gt;=75,2.67,G91&gt;=70,2.33,G91&gt;=65,2,G91&gt;=60,1.67,G91&gt;=55,1.33,G91&gt;=50,1,G91&gt;=25,0.5,G91&gt;=0,0)</f>
        <v>3.67</v>
      </c>
      <c r="J91" s="4" t="s">
        <v>170</v>
      </c>
      <c r="K91" s="4" t="s">
        <v>170</v>
      </c>
      <c r="L91" s="4" t="s">
        <v>170</v>
      </c>
      <c r="M91" s="4" t="s">
        <v>137</v>
      </c>
      <c r="N91" s="3">
        <v>11</v>
      </c>
      <c r="O91" s="4" t="s">
        <v>165</v>
      </c>
      <c r="P91" s="4" t="s">
        <v>159</v>
      </c>
    </row>
    <row r="92" spans="1:16" ht="28" x14ac:dyDescent="0.2">
      <c r="A92" s="3">
        <v>92</v>
      </c>
      <c r="B92" s="3">
        <v>1</v>
      </c>
      <c r="C92" s="4" t="s">
        <v>101</v>
      </c>
      <c r="D92" s="4" t="s">
        <v>100</v>
      </c>
      <c r="E92" s="4" t="s">
        <v>109</v>
      </c>
      <c r="F92" s="14" t="s">
        <v>282</v>
      </c>
      <c r="G92" s="4">
        <v>92</v>
      </c>
      <c r="H92" s="4" t="str" cm="1">
        <f t="array" ref="H92">_xlfn.IFS(G92&gt;=95,"A",G92&gt;=90,"A-",G92&gt;=85,"B+",G92&gt;=80,"B",G92&gt;=75,"B-",G92&gt;=70,"C+",G92&gt;=65,"C",G92&gt;=60,"C-",G92&gt;=55,"D+",G92&gt;=50,"D",G92&gt;=25,"FX",G92&gt;=0,"F")</f>
        <v>A-</v>
      </c>
      <c r="I92" s="4" cm="1">
        <f t="array" ref="I92">_xlfn.IFS(G92&gt;=95,4,G92&gt;=90,3.67,G92&gt;=85,3.33,G92&gt;=80,3,G92&gt;=75,2.67,G92&gt;=70,2.33,G92&gt;=65,2,G92&gt;=60,1.67,G92&gt;=55,1.33,G92&gt;=50,1,G92&gt;=25,0.5,G92&gt;=0,0)</f>
        <v>3.67</v>
      </c>
      <c r="J92" s="4" t="s">
        <v>170</v>
      </c>
      <c r="K92" s="4" t="s">
        <v>170</v>
      </c>
      <c r="L92" s="4" t="s">
        <v>170</v>
      </c>
      <c r="M92" s="4" t="s">
        <v>137</v>
      </c>
      <c r="N92" s="3">
        <v>20</v>
      </c>
      <c r="O92" s="4" t="s">
        <v>134</v>
      </c>
      <c r="P92" s="4" t="s">
        <v>159</v>
      </c>
    </row>
    <row r="93" spans="1:16" x14ac:dyDescent="0.2">
      <c r="A93" s="8">
        <v>93</v>
      </c>
      <c r="B93" s="8"/>
      <c r="C93" s="9"/>
      <c r="D93" s="9"/>
      <c r="E93" s="9"/>
      <c r="F93" s="16"/>
      <c r="G93" s="9"/>
      <c r="H93" s="9"/>
      <c r="I93" s="9"/>
      <c r="N93" s="8"/>
      <c r="O93" s="9"/>
      <c r="P93" s="9"/>
    </row>
    <row r="94" spans="1:16" x14ac:dyDescent="0.2">
      <c r="A94" s="8">
        <v>94</v>
      </c>
      <c r="B94" s="8"/>
      <c r="C94" s="9"/>
      <c r="D94" s="9"/>
      <c r="E94" s="9"/>
      <c r="F94" s="16"/>
      <c r="G94" s="9"/>
      <c r="H94" s="9"/>
      <c r="I94" s="9"/>
      <c r="N94" s="8"/>
      <c r="O94" s="9"/>
      <c r="P94" s="9"/>
    </row>
    <row r="95" spans="1:16" x14ac:dyDescent="0.2">
      <c r="A95" s="8">
        <v>95</v>
      </c>
      <c r="B95" s="8"/>
      <c r="C95" s="9"/>
      <c r="D95" s="9"/>
      <c r="E95" s="9"/>
      <c r="F95" s="16"/>
      <c r="G95" s="9"/>
      <c r="H95" s="9"/>
      <c r="I95" s="9"/>
      <c r="N95" s="8"/>
      <c r="O95" s="9"/>
      <c r="P95" s="9"/>
    </row>
    <row r="96" spans="1:16" x14ac:dyDescent="0.2">
      <c r="A96" s="8">
        <v>96</v>
      </c>
      <c r="B96" s="8"/>
      <c r="C96" s="9"/>
      <c r="D96" s="9"/>
      <c r="E96" s="9"/>
      <c r="F96" s="16"/>
      <c r="G96" s="9"/>
      <c r="H96" s="9"/>
      <c r="I96" s="9"/>
      <c r="N96" s="8"/>
      <c r="O96" s="9"/>
      <c r="P96" s="9"/>
    </row>
    <row r="97" spans="1:16" x14ac:dyDescent="0.2">
      <c r="A97" s="8">
        <v>97</v>
      </c>
      <c r="B97" s="8"/>
      <c r="C97" s="9"/>
      <c r="D97" s="9"/>
      <c r="E97" s="9"/>
      <c r="F97" s="16"/>
      <c r="G97" s="9"/>
      <c r="H97" s="9"/>
      <c r="I97" s="9"/>
      <c r="N97" s="8"/>
      <c r="O97" s="9"/>
      <c r="P97" s="9"/>
    </row>
    <row r="98" spans="1:16" x14ac:dyDescent="0.2">
      <c r="A98" s="8">
        <v>98</v>
      </c>
      <c r="B98" s="8"/>
      <c r="C98" s="9"/>
      <c r="D98" s="9"/>
      <c r="E98" s="9"/>
      <c r="F98" s="16"/>
      <c r="G98" s="9"/>
      <c r="H98" s="9"/>
      <c r="I98" s="9"/>
      <c r="N98" s="8"/>
      <c r="O98" s="9"/>
      <c r="P98" s="9"/>
    </row>
    <row r="99" spans="1:16" x14ac:dyDescent="0.2">
      <c r="A99" s="8">
        <v>99</v>
      </c>
      <c r="B99" s="8"/>
      <c r="C99" s="9"/>
      <c r="D99" s="9"/>
      <c r="E99" s="9"/>
      <c r="F99" s="16"/>
      <c r="G99" s="9"/>
      <c r="H99" s="9"/>
      <c r="I99" s="9"/>
      <c r="N99" s="8"/>
      <c r="O99" s="9"/>
      <c r="P99" s="9"/>
    </row>
    <row r="100" spans="1:16" x14ac:dyDescent="0.2">
      <c r="A100" s="8">
        <v>100</v>
      </c>
      <c r="B100" s="8"/>
      <c r="C100" s="9"/>
      <c r="D100" s="9"/>
      <c r="E100" s="9"/>
      <c r="F100" s="16"/>
      <c r="G100" s="9"/>
      <c r="H100" s="9"/>
      <c r="I100" s="9"/>
      <c r="N100" s="8"/>
      <c r="O100" s="9"/>
      <c r="P100" s="9"/>
    </row>
    <row r="101" spans="1:16" x14ac:dyDescent="0.2">
      <c r="A101" s="8">
        <v>101</v>
      </c>
      <c r="B101" s="8"/>
      <c r="C101" s="9"/>
      <c r="D101" s="9"/>
      <c r="E101" s="9"/>
      <c r="F101" s="16"/>
      <c r="G101" s="9"/>
      <c r="H101" s="9"/>
      <c r="I101" s="9"/>
      <c r="N101" s="8"/>
      <c r="O101" s="9"/>
      <c r="P101" s="9"/>
    </row>
    <row r="102" spans="1:16" x14ac:dyDescent="0.2">
      <c r="A102" s="8">
        <v>102</v>
      </c>
      <c r="B102" s="8"/>
      <c r="C102" s="9"/>
      <c r="D102" s="9"/>
      <c r="E102" s="9"/>
      <c r="F102" s="16"/>
      <c r="G102" s="9"/>
      <c r="H102" s="9"/>
      <c r="I102" s="9"/>
      <c r="N102" s="8"/>
      <c r="O102" s="9"/>
      <c r="P102" s="9"/>
    </row>
    <row r="103" spans="1:16" x14ac:dyDescent="0.2">
      <c r="A103" s="8">
        <v>103</v>
      </c>
      <c r="B103" s="8"/>
      <c r="C103" s="9"/>
      <c r="D103" s="9"/>
      <c r="E103" s="9"/>
      <c r="F103" s="16"/>
      <c r="G103" s="9"/>
      <c r="H103" s="9"/>
      <c r="I103" s="9"/>
      <c r="N103" s="8"/>
      <c r="O103" s="9"/>
      <c r="P103" s="9"/>
    </row>
    <row r="104" spans="1:16" x14ac:dyDescent="0.2">
      <c r="A104" s="8">
        <v>104</v>
      </c>
      <c r="B104" s="8"/>
      <c r="C104" s="9"/>
      <c r="D104" s="9"/>
      <c r="E104" s="9"/>
      <c r="F104" s="16"/>
      <c r="G104" s="9"/>
      <c r="H104" s="9"/>
      <c r="I104" s="9"/>
      <c r="N104" s="8"/>
      <c r="O104" s="9"/>
      <c r="P104" s="9"/>
    </row>
    <row r="105" spans="1:16" x14ac:dyDescent="0.2">
      <c r="A105" s="8">
        <v>105</v>
      </c>
      <c r="B105" s="8"/>
      <c r="C105" s="9"/>
      <c r="D105" s="9"/>
      <c r="E105" s="9"/>
      <c r="F105" s="16"/>
      <c r="G105" s="9"/>
      <c r="H105" s="9"/>
      <c r="I105" s="9"/>
      <c r="N105" s="8"/>
      <c r="O105" s="9"/>
      <c r="P105" s="9"/>
    </row>
    <row r="106" spans="1:16" x14ac:dyDescent="0.2">
      <c r="A106" s="8">
        <v>106</v>
      </c>
      <c r="B106" s="8"/>
      <c r="C106" s="9"/>
      <c r="D106" s="9"/>
      <c r="E106" s="9"/>
      <c r="F106" s="16"/>
      <c r="G106" s="9"/>
      <c r="H106" s="9"/>
      <c r="I106" s="9"/>
      <c r="N106" s="8"/>
      <c r="O106" s="9"/>
      <c r="P106" s="9"/>
    </row>
    <row r="107" spans="1:16" x14ac:dyDescent="0.2">
      <c r="A107" s="8">
        <v>107</v>
      </c>
      <c r="B107" s="8"/>
      <c r="C107" s="9"/>
      <c r="D107" s="9"/>
      <c r="E107" s="9"/>
      <c r="F107" s="16"/>
      <c r="G107" s="9"/>
      <c r="H107" s="9"/>
      <c r="I107" s="9"/>
      <c r="N107" s="8"/>
      <c r="O107" s="9"/>
      <c r="P107" s="9"/>
    </row>
    <row r="108" spans="1:16" x14ac:dyDescent="0.2">
      <c r="A108" s="8">
        <v>108</v>
      </c>
      <c r="B108" s="8"/>
      <c r="C108" s="9"/>
      <c r="D108" s="9"/>
      <c r="E108" s="9"/>
      <c r="F108" s="16"/>
      <c r="G108" s="9"/>
      <c r="H108" s="9"/>
      <c r="I108" s="9"/>
      <c r="N108" s="8"/>
      <c r="O108" s="9"/>
      <c r="P108" s="9"/>
    </row>
    <row r="109" spans="1:16" x14ac:dyDescent="0.2">
      <c r="A109" s="8">
        <v>109</v>
      </c>
      <c r="B109" s="8"/>
      <c r="C109" s="9"/>
      <c r="D109" s="9"/>
      <c r="E109" s="9"/>
      <c r="F109" s="16"/>
      <c r="G109" s="9"/>
      <c r="H109" s="9"/>
      <c r="I109" s="9"/>
      <c r="N109" s="8"/>
      <c r="O109" s="9"/>
      <c r="P109" s="9"/>
    </row>
    <row r="110" spans="1:16" x14ac:dyDescent="0.2">
      <c r="A110" s="8">
        <v>110</v>
      </c>
      <c r="B110" s="8"/>
      <c r="C110" s="9"/>
      <c r="D110" s="9"/>
      <c r="E110" s="9"/>
      <c r="F110" s="16"/>
      <c r="G110" s="9"/>
      <c r="H110" s="9"/>
      <c r="I110" s="9"/>
      <c r="N110" s="8"/>
      <c r="O110" s="9"/>
      <c r="P110" s="9"/>
    </row>
    <row r="111" spans="1:16" x14ac:dyDescent="0.2">
      <c r="A111" s="8">
        <v>111</v>
      </c>
      <c r="B111" s="8"/>
      <c r="C111" s="9"/>
      <c r="D111" s="9"/>
      <c r="E111" s="9"/>
      <c r="F111" s="16"/>
      <c r="G111" s="9"/>
      <c r="H111" s="9"/>
      <c r="I111" s="9"/>
      <c r="N111" s="8"/>
      <c r="O111" s="9"/>
      <c r="P111" s="9"/>
    </row>
    <row r="112" spans="1:16" x14ac:dyDescent="0.2">
      <c r="A112" s="8">
        <v>112</v>
      </c>
      <c r="B112" s="8"/>
      <c r="C112" s="9"/>
      <c r="D112" s="9"/>
      <c r="E112" s="9"/>
      <c r="F112" s="16"/>
      <c r="G112" s="9"/>
      <c r="H112" s="9"/>
      <c r="I112" s="9"/>
      <c r="N112" s="8"/>
      <c r="O112" s="9"/>
      <c r="P112" s="9"/>
    </row>
    <row r="113" spans="1:16" x14ac:dyDescent="0.2">
      <c r="A113" s="8">
        <v>113</v>
      </c>
      <c r="B113" s="8"/>
      <c r="C113" s="9"/>
      <c r="D113" s="9"/>
      <c r="E113" s="9"/>
      <c r="F113" s="16"/>
      <c r="G113" s="9"/>
      <c r="H113" s="9"/>
      <c r="I113" s="9"/>
      <c r="N113" s="8"/>
      <c r="O113" s="9"/>
      <c r="P113" s="9"/>
    </row>
    <row r="114" spans="1:16" x14ac:dyDescent="0.2">
      <c r="A114" s="8">
        <v>114</v>
      </c>
      <c r="B114" s="8"/>
      <c r="C114" s="9"/>
      <c r="D114" s="9"/>
      <c r="E114" s="9"/>
      <c r="F114" s="16"/>
      <c r="G114" s="9"/>
      <c r="H114" s="9"/>
      <c r="I114" s="9"/>
      <c r="N114" s="8"/>
      <c r="O114" s="9"/>
      <c r="P114" s="9"/>
    </row>
    <row r="115" spans="1:16" x14ac:dyDescent="0.2">
      <c r="A115" s="8">
        <v>115</v>
      </c>
      <c r="B115" s="8"/>
      <c r="C115" s="9"/>
      <c r="D115" s="9"/>
      <c r="E115" s="9"/>
      <c r="F115" s="16"/>
      <c r="G115" s="9"/>
      <c r="H115" s="9"/>
      <c r="I115" s="9"/>
      <c r="N115" s="8"/>
      <c r="O115" s="9"/>
      <c r="P115" s="9"/>
    </row>
    <row r="116" spans="1:16" x14ac:dyDescent="0.2">
      <c r="A116" s="8">
        <v>116</v>
      </c>
      <c r="B116" s="8"/>
      <c r="C116" s="9"/>
      <c r="D116" s="9"/>
      <c r="E116" s="9"/>
      <c r="F116" s="16"/>
      <c r="G116" s="9"/>
      <c r="H116" s="9"/>
      <c r="I116" s="9"/>
      <c r="N116" s="8"/>
      <c r="O116" s="9"/>
      <c r="P116" s="9"/>
    </row>
    <row r="117" spans="1:16" x14ac:dyDescent="0.2">
      <c r="A117" s="8">
        <v>117</v>
      </c>
      <c r="B117" s="8"/>
      <c r="C117" s="9"/>
      <c r="D117" s="9"/>
      <c r="E117" s="9"/>
      <c r="F117" s="16"/>
      <c r="G117" s="9"/>
      <c r="H117" s="9"/>
      <c r="I117" s="9"/>
      <c r="N117" s="8"/>
      <c r="O117" s="9"/>
      <c r="P117" s="9"/>
    </row>
    <row r="118" spans="1:16" x14ac:dyDescent="0.2">
      <c r="A118" s="8">
        <v>118</v>
      </c>
      <c r="B118" s="8"/>
      <c r="C118" s="9"/>
      <c r="D118" s="9"/>
      <c r="E118" s="9"/>
      <c r="F118" s="16"/>
      <c r="G118" s="9"/>
      <c r="H118" s="9"/>
      <c r="I118" s="9"/>
      <c r="N118" s="8"/>
      <c r="O118" s="9"/>
      <c r="P118" s="9"/>
    </row>
    <row r="119" spans="1:16" x14ac:dyDescent="0.2">
      <c r="A119" s="8">
        <v>119</v>
      </c>
      <c r="B119" s="8"/>
      <c r="C119" s="9"/>
      <c r="D119" s="9"/>
      <c r="E119" s="9"/>
      <c r="F119" s="16"/>
      <c r="G119" s="9"/>
      <c r="H119" s="9"/>
      <c r="I119" s="9"/>
      <c r="N119" s="8"/>
      <c r="O119" s="9"/>
      <c r="P119" s="9"/>
    </row>
    <row r="120" spans="1:16" x14ac:dyDescent="0.2">
      <c r="A120" s="8">
        <v>120</v>
      </c>
      <c r="B120" s="8"/>
      <c r="C120" s="9"/>
      <c r="D120" s="9"/>
      <c r="E120" s="9"/>
      <c r="F120" s="16"/>
      <c r="G120" s="9"/>
      <c r="H120" s="9"/>
      <c r="I120" s="9"/>
      <c r="N120" s="8"/>
      <c r="O120" s="9"/>
      <c r="P120" s="9"/>
    </row>
    <row r="121" spans="1:16" x14ac:dyDescent="0.2">
      <c r="A121" s="8">
        <v>121</v>
      </c>
      <c r="B121" s="8"/>
      <c r="C121" s="9"/>
      <c r="D121" s="9"/>
      <c r="E121" s="9"/>
      <c r="F121" s="16"/>
      <c r="G121" s="9"/>
      <c r="H121" s="9"/>
      <c r="I121" s="9"/>
      <c r="N121" s="8"/>
      <c r="O121" s="9"/>
      <c r="P121" s="9"/>
    </row>
    <row r="122" spans="1:16" x14ac:dyDescent="0.2">
      <c r="A122" s="8">
        <v>122</v>
      </c>
      <c r="B122" s="8"/>
      <c r="C122" s="9"/>
      <c r="D122" s="9"/>
      <c r="E122" s="9"/>
      <c r="F122" s="16"/>
      <c r="G122" s="9"/>
      <c r="H122" s="9"/>
      <c r="I122" s="9"/>
      <c r="N122" s="8"/>
      <c r="O122" s="9"/>
      <c r="P122" s="9"/>
    </row>
    <row r="123" spans="1:16" x14ac:dyDescent="0.2">
      <c r="A123" s="8">
        <v>123</v>
      </c>
      <c r="B123" s="8"/>
      <c r="C123" s="9"/>
      <c r="D123" s="9"/>
      <c r="E123" s="9"/>
      <c r="F123" s="16"/>
      <c r="G123" s="9"/>
      <c r="H123" s="9"/>
      <c r="I123" s="9"/>
      <c r="N123" s="8"/>
      <c r="O123" s="9"/>
      <c r="P123" s="9"/>
    </row>
    <row r="124" spans="1:16" x14ac:dyDescent="0.2">
      <c r="A124" s="8">
        <v>124</v>
      </c>
      <c r="B124" s="8"/>
      <c r="C124" s="9"/>
      <c r="D124" s="9"/>
      <c r="E124" s="9"/>
      <c r="F124" s="16"/>
      <c r="G124" s="9"/>
      <c r="H124" s="9"/>
      <c r="I124" s="9"/>
      <c r="N124" s="8"/>
      <c r="O124" s="9"/>
      <c r="P124" s="9"/>
    </row>
    <row r="125" spans="1:16" x14ac:dyDescent="0.2">
      <c r="A125" s="8">
        <v>125</v>
      </c>
      <c r="B125" s="8"/>
      <c r="C125" s="9"/>
      <c r="D125" s="9"/>
      <c r="E125" s="9"/>
      <c r="F125" s="16"/>
      <c r="G125" s="9"/>
      <c r="H125" s="9"/>
      <c r="I125" s="9"/>
      <c r="N125" s="8"/>
      <c r="O125" s="9"/>
      <c r="P125" s="9"/>
    </row>
    <row r="126" spans="1:16" x14ac:dyDescent="0.2">
      <c r="A126" s="8">
        <v>126</v>
      </c>
      <c r="B126" s="8"/>
      <c r="C126" s="9"/>
      <c r="D126" s="9"/>
      <c r="E126" s="9"/>
      <c r="F126" s="16"/>
      <c r="G126" s="9"/>
      <c r="H126" s="9"/>
      <c r="I126" s="9"/>
      <c r="N126" s="8"/>
      <c r="O126" s="9"/>
      <c r="P126" s="9"/>
    </row>
    <row r="127" spans="1:16" x14ac:dyDescent="0.2">
      <c r="A127" s="8">
        <v>127</v>
      </c>
      <c r="B127" s="8"/>
      <c r="C127" s="9"/>
      <c r="D127" s="9"/>
      <c r="E127" s="9"/>
      <c r="F127" s="16"/>
      <c r="G127" s="9"/>
      <c r="H127" s="9"/>
      <c r="I127" s="9"/>
      <c r="N127" s="8"/>
      <c r="O127" s="9"/>
      <c r="P127" s="9"/>
    </row>
    <row r="128" spans="1:16" x14ac:dyDescent="0.2">
      <c r="A128" s="8">
        <v>128</v>
      </c>
      <c r="B128" s="8"/>
      <c r="C128" s="9"/>
      <c r="D128" s="9"/>
      <c r="E128" s="9"/>
      <c r="F128" s="16"/>
      <c r="G128" s="9"/>
      <c r="H128" s="9"/>
      <c r="I128" s="9"/>
      <c r="N128" s="8"/>
      <c r="O128" s="9"/>
      <c r="P128" s="9"/>
    </row>
    <row r="129" spans="1:16" x14ac:dyDescent="0.2">
      <c r="A129" s="8">
        <v>129</v>
      </c>
      <c r="B129" s="8"/>
      <c r="C129" s="9"/>
      <c r="D129" s="9"/>
      <c r="E129" s="9"/>
      <c r="F129" s="16"/>
      <c r="G129" s="9"/>
      <c r="H129" s="9"/>
      <c r="I129" s="9"/>
      <c r="N129" s="8"/>
      <c r="O129" s="9"/>
      <c r="P129" s="9"/>
    </row>
    <row r="130" spans="1:16" x14ac:dyDescent="0.2">
      <c r="A130" s="8">
        <v>130</v>
      </c>
      <c r="B130" s="8"/>
      <c r="C130" s="9"/>
      <c r="D130" s="9"/>
      <c r="E130" s="9"/>
      <c r="F130" s="16"/>
      <c r="G130" s="9"/>
      <c r="H130" s="9"/>
      <c r="I130" s="9"/>
      <c r="N130" s="8"/>
      <c r="O130" s="9"/>
      <c r="P130" s="9"/>
    </row>
    <row r="131" spans="1:16" x14ac:dyDescent="0.2">
      <c r="A131" s="8">
        <v>131</v>
      </c>
      <c r="B131" s="8"/>
      <c r="C131" s="9"/>
      <c r="D131" s="9"/>
      <c r="E131" s="9"/>
      <c r="F131" s="16"/>
      <c r="G131" s="9"/>
      <c r="H131" s="9"/>
      <c r="I131" s="9"/>
      <c r="N131" s="8"/>
      <c r="O131" s="9"/>
      <c r="P131" s="9"/>
    </row>
    <row r="132" spans="1:16" x14ac:dyDescent="0.2">
      <c r="A132" s="8">
        <v>132</v>
      </c>
      <c r="B132" s="8"/>
      <c r="C132" s="9"/>
      <c r="D132" s="9"/>
      <c r="E132" s="9"/>
      <c r="F132" s="16"/>
      <c r="G132" s="9"/>
      <c r="H132" s="9"/>
      <c r="I132" s="9"/>
      <c r="N132" s="8"/>
      <c r="O132" s="9"/>
      <c r="P132" s="9"/>
    </row>
    <row r="133" spans="1:16" x14ac:dyDescent="0.2">
      <c r="A133" s="8">
        <v>133</v>
      </c>
      <c r="B133" s="8"/>
      <c r="C133" s="9"/>
      <c r="D133" s="9"/>
      <c r="E133" s="9"/>
      <c r="F133" s="16"/>
      <c r="G133" s="9"/>
      <c r="H133" s="9"/>
      <c r="I133" s="9"/>
      <c r="N133" s="8"/>
      <c r="O133" s="9"/>
      <c r="P133" s="9"/>
    </row>
    <row r="134" spans="1:16" x14ac:dyDescent="0.2">
      <c r="A134" s="8">
        <v>134</v>
      </c>
      <c r="B134" s="8"/>
      <c r="C134" s="9"/>
      <c r="D134" s="9"/>
      <c r="E134" s="9"/>
      <c r="F134" s="16"/>
      <c r="G134" s="9"/>
      <c r="H134" s="9"/>
      <c r="I134" s="9"/>
      <c r="N134" s="8"/>
      <c r="O134" s="9"/>
      <c r="P134" s="9"/>
    </row>
    <row r="135" spans="1:16" x14ac:dyDescent="0.2">
      <c r="A135" s="8">
        <v>135</v>
      </c>
      <c r="B135" s="8"/>
      <c r="C135" s="9"/>
      <c r="D135" s="9"/>
      <c r="E135" s="9"/>
      <c r="F135" s="16"/>
      <c r="G135" s="9"/>
      <c r="H135" s="9"/>
      <c r="I135" s="9"/>
      <c r="N135" s="8"/>
      <c r="O135" s="9"/>
      <c r="P135" s="9"/>
    </row>
    <row r="136" spans="1:16" x14ac:dyDescent="0.2">
      <c r="A136" s="8">
        <v>136</v>
      </c>
      <c r="B136" s="8"/>
      <c r="C136" s="9"/>
      <c r="D136" s="9"/>
      <c r="E136" s="9"/>
      <c r="F136" s="16"/>
      <c r="G136" s="9"/>
      <c r="H136" s="9"/>
      <c r="I136" s="9"/>
      <c r="N136" s="8"/>
      <c r="O136" s="9"/>
      <c r="P136" s="9"/>
    </row>
    <row r="137" spans="1:16" x14ac:dyDescent="0.2">
      <c r="A137" s="8">
        <v>137</v>
      </c>
      <c r="B137" s="8"/>
      <c r="C137" s="9"/>
      <c r="D137" s="9"/>
      <c r="E137" s="9"/>
      <c r="F137" s="16"/>
      <c r="G137" s="9"/>
      <c r="H137" s="9"/>
      <c r="I137" s="9"/>
      <c r="N137" s="8"/>
      <c r="O137" s="9"/>
      <c r="P137" s="9"/>
    </row>
    <row r="138" spans="1:16" x14ac:dyDescent="0.2">
      <c r="A138" s="8">
        <v>138</v>
      </c>
      <c r="B138" s="8"/>
      <c r="C138" s="9"/>
      <c r="D138" s="9"/>
      <c r="E138" s="9"/>
      <c r="F138" s="16"/>
      <c r="G138" s="9"/>
      <c r="H138" s="9"/>
      <c r="I138" s="9"/>
      <c r="N138" s="8"/>
      <c r="O138" s="9"/>
      <c r="P138" s="9"/>
    </row>
    <row r="139" spans="1:16" x14ac:dyDescent="0.2">
      <c r="A139" s="8">
        <v>139</v>
      </c>
      <c r="B139" s="8"/>
      <c r="C139" s="9"/>
      <c r="D139" s="9"/>
      <c r="E139" s="9"/>
      <c r="F139" s="16"/>
      <c r="G139" s="9"/>
      <c r="H139" s="9"/>
      <c r="I139" s="9"/>
      <c r="N139" s="8"/>
      <c r="O139" s="9"/>
      <c r="P139" s="9"/>
    </row>
    <row r="140" spans="1:16" x14ac:dyDescent="0.2">
      <c r="A140" s="8">
        <v>140</v>
      </c>
      <c r="B140" s="8"/>
      <c r="C140" s="9"/>
      <c r="D140" s="9"/>
      <c r="E140" s="9"/>
      <c r="F140" s="16"/>
      <c r="G140" s="9"/>
      <c r="H140" s="9"/>
      <c r="I140" s="9"/>
      <c r="N140" s="8"/>
      <c r="O140" s="9"/>
      <c r="P140" s="9"/>
    </row>
    <row r="141" spans="1:16" x14ac:dyDescent="0.2">
      <c r="A141" s="8">
        <v>141</v>
      </c>
      <c r="B141" s="8"/>
      <c r="C141" s="9"/>
      <c r="D141" s="9"/>
      <c r="E141" s="9"/>
      <c r="F141" s="16"/>
      <c r="G141" s="9"/>
      <c r="H141" s="9"/>
      <c r="I141" s="9"/>
      <c r="N141" s="8"/>
      <c r="O141" s="9"/>
      <c r="P141" s="9"/>
    </row>
    <row r="142" spans="1:16" x14ac:dyDescent="0.2">
      <c r="A142" s="8">
        <v>142</v>
      </c>
      <c r="B142" s="8"/>
      <c r="C142" s="9"/>
      <c r="D142" s="9"/>
      <c r="E142" s="9"/>
      <c r="F142" s="16"/>
      <c r="G142" s="9"/>
      <c r="H142" s="9"/>
      <c r="I142" s="9"/>
      <c r="N142" s="8"/>
      <c r="O142" s="9"/>
      <c r="P142" s="9"/>
    </row>
    <row r="143" spans="1:16" x14ac:dyDescent="0.2">
      <c r="A143" s="8">
        <v>143</v>
      </c>
      <c r="B143" s="8"/>
      <c r="C143" s="9"/>
      <c r="D143" s="9"/>
      <c r="E143" s="9"/>
      <c r="F143" s="16"/>
      <c r="G143" s="9"/>
      <c r="H143" s="9"/>
      <c r="I143" s="9"/>
      <c r="N143" s="8"/>
      <c r="O143" s="9"/>
      <c r="P143" s="9"/>
    </row>
    <row r="144" spans="1:16" x14ac:dyDescent="0.2">
      <c r="A144" s="8">
        <v>144</v>
      </c>
      <c r="B144" s="8"/>
      <c r="C144" s="9"/>
      <c r="D144" s="9"/>
      <c r="E144" s="9"/>
      <c r="F144" s="16"/>
      <c r="G144" s="9"/>
      <c r="H144" s="9"/>
      <c r="I144" s="9"/>
      <c r="N144" s="8"/>
      <c r="O144" s="9"/>
      <c r="P144" s="9"/>
    </row>
    <row r="145" spans="1:16" x14ac:dyDescent="0.2">
      <c r="A145" s="8">
        <v>145</v>
      </c>
      <c r="B145" s="8"/>
      <c r="C145" s="9"/>
      <c r="D145" s="9"/>
      <c r="E145" s="9"/>
      <c r="F145" s="16"/>
      <c r="G145" s="9"/>
      <c r="H145" s="9"/>
      <c r="I145" s="9"/>
      <c r="N145" s="8"/>
      <c r="O145" s="9"/>
      <c r="P145" s="9"/>
    </row>
    <row r="146" spans="1:16" x14ac:dyDescent="0.2">
      <c r="A146" s="8">
        <v>146</v>
      </c>
      <c r="B146" s="8"/>
      <c r="C146" s="9"/>
      <c r="D146" s="9"/>
      <c r="E146" s="9"/>
      <c r="F146" s="16"/>
      <c r="G146" s="9"/>
      <c r="H146" s="9"/>
      <c r="I146" s="9"/>
      <c r="N146" s="8"/>
      <c r="O146" s="9"/>
      <c r="P146" s="9"/>
    </row>
    <row r="147" spans="1:16" x14ac:dyDescent="0.2">
      <c r="A147" s="8">
        <v>147</v>
      </c>
      <c r="B147" s="8"/>
      <c r="C147" s="9"/>
      <c r="D147" s="9"/>
      <c r="E147" s="9"/>
      <c r="F147" s="16"/>
      <c r="G147" s="9"/>
      <c r="H147" s="9"/>
      <c r="I147" s="9"/>
      <c r="N147" s="8"/>
      <c r="O147" s="9"/>
      <c r="P147" s="9"/>
    </row>
    <row r="148" spans="1:16" x14ac:dyDescent="0.2">
      <c r="A148" s="8">
        <v>148</v>
      </c>
      <c r="B148" s="8"/>
      <c r="C148" s="9"/>
      <c r="D148" s="9"/>
      <c r="E148" s="9"/>
      <c r="F148" s="16"/>
      <c r="G148" s="9"/>
      <c r="H148" s="9"/>
      <c r="I148" s="9"/>
      <c r="N148" s="8"/>
      <c r="O148" s="9"/>
      <c r="P148" s="9"/>
    </row>
    <row r="149" spans="1:16" x14ac:dyDescent="0.2">
      <c r="A149" s="8">
        <v>149</v>
      </c>
      <c r="B149" s="8"/>
      <c r="C149" s="9"/>
      <c r="D149" s="9"/>
      <c r="E149" s="9"/>
      <c r="F149" s="16"/>
      <c r="G149" s="9"/>
      <c r="H149" s="9"/>
      <c r="I149" s="9"/>
      <c r="N149" s="8"/>
      <c r="O149" s="9"/>
      <c r="P149" s="9"/>
    </row>
    <row r="150" spans="1:16" x14ac:dyDescent="0.2">
      <c r="A150" s="8">
        <v>150</v>
      </c>
      <c r="B150" s="8"/>
      <c r="C150" s="9"/>
      <c r="D150" s="9"/>
      <c r="E150" s="9"/>
      <c r="F150" s="16"/>
      <c r="G150" s="9"/>
      <c r="H150" s="9"/>
      <c r="I150" s="9"/>
      <c r="N150" s="8"/>
      <c r="O150" s="9"/>
      <c r="P150" s="9"/>
    </row>
    <row r="151" spans="1:16" x14ac:dyDescent="0.2">
      <c r="A151" s="8">
        <v>151</v>
      </c>
      <c r="B151" s="8"/>
      <c r="C151" s="9"/>
      <c r="D151" s="9"/>
      <c r="E151" s="9"/>
      <c r="F151" s="16"/>
      <c r="G151" s="9"/>
      <c r="H151" s="9"/>
      <c r="I151" s="9"/>
      <c r="N151" s="8"/>
      <c r="O151" s="9"/>
      <c r="P151" s="9"/>
    </row>
    <row r="152" spans="1:16" x14ac:dyDescent="0.2">
      <c r="A152" s="8">
        <v>152</v>
      </c>
      <c r="B152" s="8"/>
      <c r="C152" s="9"/>
      <c r="D152" s="9"/>
      <c r="E152" s="9"/>
      <c r="F152" s="16"/>
      <c r="G152" s="9"/>
      <c r="H152" s="9"/>
      <c r="I152" s="9"/>
      <c r="N152" s="8"/>
      <c r="O152" s="9"/>
      <c r="P152" s="9"/>
    </row>
    <row r="153" spans="1:16" x14ac:dyDescent="0.2">
      <c r="A153" s="8">
        <v>153</v>
      </c>
      <c r="B153" s="8"/>
      <c r="C153" s="9"/>
      <c r="D153" s="9"/>
      <c r="E153" s="9"/>
      <c r="F153" s="16"/>
      <c r="G153" s="9"/>
      <c r="H153" s="9"/>
      <c r="I153" s="9"/>
      <c r="N153" s="8"/>
      <c r="O153" s="9"/>
      <c r="P153" s="9"/>
    </row>
    <row r="154" spans="1:16" x14ac:dyDescent="0.2">
      <c r="A154" s="8">
        <v>154</v>
      </c>
      <c r="B154" s="8"/>
      <c r="C154" s="9"/>
      <c r="D154" s="9"/>
      <c r="E154" s="9"/>
      <c r="F154" s="16"/>
      <c r="G154" s="9"/>
      <c r="H154" s="9"/>
      <c r="I154" s="9"/>
      <c r="N154" s="8"/>
      <c r="O154" s="9"/>
      <c r="P154" s="9"/>
    </row>
    <row r="155" spans="1:16" x14ac:dyDescent="0.2">
      <c r="A155" s="8">
        <v>155</v>
      </c>
      <c r="B155" s="8"/>
      <c r="C155" s="9"/>
      <c r="D155" s="9"/>
      <c r="E155" s="9"/>
      <c r="F155" s="16"/>
      <c r="G155" s="9"/>
      <c r="H155" s="9"/>
      <c r="I155" s="9"/>
      <c r="N155" s="8"/>
      <c r="O155" s="9"/>
      <c r="P155" s="9"/>
    </row>
    <row r="156" spans="1:16" x14ac:dyDescent="0.2">
      <c r="A156" s="8">
        <v>156</v>
      </c>
      <c r="B156" s="8"/>
      <c r="C156" s="9"/>
      <c r="D156" s="9"/>
      <c r="E156" s="9"/>
      <c r="F156" s="16"/>
      <c r="G156" s="9"/>
      <c r="H156" s="9"/>
      <c r="I156" s="9"/>
      <c r="N156" s="8"/>
      <c r="O156" s="9"/>
      <c r="P156" s="9"/>
    </row>
    <row r="157" spans="1:16" x14ac:dyDescent="0.2">
      <c r="A157" s="8">
        <v>157</v>
      </c>
      <c r="B157" s="8"/>
      <c r="C157" s="9"/>
      <c r="D157" s="9"/>
      <c r="E157" s="9"/>
      <c r="F157" s="16"/>
      <c r="G157" s="9"/>
      <c r="H157" s="9"/>
      <c r="I157" s="9"/>
      <c r="N157" s="8"/>
      <c r="O157" s="9"/>
      <c r="P157" s="9"/>
    </row>
    <row r="158" spans="1:16" x14ac:dyDescent="0.2">
      <c r="A158" s="8">
        <v>158</v>
      </c>
      <c r="B158" s="8"/>
      <c r="C158" s="9"/>
      <c r="D158" s="9"/>
      <c r="E158" s="9"/>
      <c r="F158" s="16"/>
      <c r="G158" s="9"/>
      <c r="H158" s="9"/>
      <c r="I158" s="9"/>
      <c r="N158" s="8"/>
      <c r="O158" s="9"/>
      <c r="P158" s="9"/>
    </row>
    <row r="159" spans="1:16" x14ac:dyDescent="0.2">
      <c r="A159" s="8">
        <v>159</v>
      </c>
      <c r="B159" s="8"/>
      <c r="C159" s="9"/>
      <c r="D159" s="9"/>
      <c r="E159" s="9"/>
      <c r="F159" s="16"/>
      <c r="G159" s="9"/>
      <c r="H159" s="9"/>
      <c r="I159" s="9"/>
      <c r="N159" s="8"/>
      <c r="O159" s="9"/>
      <c r="P159" s="9"/>
    </row>
    <row r="160" spans="1:16" x14ac:dyDescent="0.2">
      <c r="A160" s="8">
        <v>160</v>
      </c>
      <c r="B160" s="8"/>
      <c r="C160" s="9"/>
      <c r="D160" s="9"/>
      <c r="E160" s="9"/>
      <c r="F160" s="16"/>
      <c r="G160" s="9"/>
      <c r="H160" s="9"/>
      <c r="I160" s="9"/>
      <c r="N160" s="8"/>
      <c r="O160" s="9"/>
      <c r="P160" s="9"/>
    </row>
    <row r="161" spans="1:16" x14ac:dyDescent="0.2">
      <c r="A161" s="8">
        <v>161</v>
      </c>
      <c r="B161" s="8"/>
      <c r="C161" s="9"/>
      <c r="D161" s="9"/>
      <c r="E161" s="9"/>
      <c r="F161" s="16"/>
      <c r="G161" s="9"/>
      <c r="H161" s="9"/>
      <c r="I161" s="9"/>
      <c r="N161" s="8"/>
      <c r="O161" s="9"/>
      <c r="P161" s="9"/>
    </row>
    <row r="162" spans="1:16" x14ac:dyDescent="0.2">
      <c r="A162" s="8">
        <v>162</v>
      </c>
      <c r="B162" s="8"/>
      <c r="C162" s="9"/>
      <c r="D162" s="9"/>
      <c r="E162" s="9"/>
      <c r="F162" s="16"/>
      <c r="G162" s="9"/>
      <c r="H162" s="9"/>
      <c r="I162" s="9"/>
      <c r="N162" s="8"/>
      <c r="O162" s="9"/>
      <c r="P162" s="9"/>
    </row>
    <row r="163" spans="1:16" x14ac:dyDescent="0.2">
      <c r="A163" s="8">
        <v>163</v>
      </c>
      <c r="B163" s="8"/>
      <c r="C163" s="9"/>
      <c r="D163" s="9"/>
      <c r="E163" s="9"/>
      <c r="F163" s="16"/>
      <c r="G163" s="9"/>
      <c r="H163" s="9"/>
      <c r="I163" s="9"/>
      <c r="N163" s="8"/>
      <c r="O163" s="9"/>
      <c r="P163" s="9"/>
    </row>
    <row r="164" spans="1:16" x14ac:dyDescent="0.2">
      <c r="A164" s="8">
        <v>164</v>
      </c>
      <c r="B164" s="8"/>
      <c r="C164" s="9"/>
      <c r="D164" s="9"/>
      <c r="E164" s="9"/>
      <c r="F164" s="16"/>
      <c r="G164" s="9"/>
      <c r="H164" s="9"/>
      <c r="I164" s="9"/>
      <c r="N164" s="8"/>
      <c r="O164" s="9"/>
      <c r="P164" s="9"/>
    </row>
    <row r="165" spans="1:16" x14ac:dyDescent="0.2">
      <c r="A165" s="8">
        <v>165</v>
      </c>
      <c r="B165" s="8"/>
      <c r="C165" s="9"/>
      <c r="D165" s="9"/>
      <c r="E165" s="9"/>
      <c r="F165" s="16"/>
      <c r="G165" s="9"/>
      <c r="H165" s="9"/>
      <c r="I165" s="9"/>
      <c r="N165" s="8"/>
      <c r="O165" s="9"/>
      <c r="P165" s="9"/>
    </row>
    <row r="166" spans="1:16" x14ac:dyDescent="0.2">
      <c r="A166" s="8">
        <v>166</v>
      </c>
      <c r="B166" s="8"/>
      <c r="C166" s="9"/>
      <c r="D166" s="9"/>
      <c r="E166" s="9"/>
      <c r="F166" s="16"/>
      <c r="G166" s="9"/>
      <c r="H166" s="9"/>
      <c r="I166" s="9"/>
      <c r="N166" s="8"/>
      <c r="O166" s="9"/>
      <c r="P166" s="9"/>
    </row>
    <row r="167" spans="1:16" x14ac:dyDescent="0.2">
      <c r="A167" s="8">
        <v>167</v>
      </c>
      <c r="B167" s="8"/>
      <c r="C167" s="9"/>
      <c r="D167" s="9"/>
      <c r="E167" s="9"/>
      <c r="F167" s="16"/>
      <c r="G167" s="9"/>
      <c r="H167" s="9"/>
      <c r="I167" s="9"/>
      <c r="N167" s="8"/>
      <c r="O167" s="9"/>
      <c r="P167" s="9"/>
    </row>
    <row r="168" spans="1:16" x14ac:dyDescent="0.2">
      <c r="A168" s="8">
        <v>168</v>
      </c>
      <c r="B168" s="8"/>
      <c r="C168" s="9"/>
      <c r="D168" s="9"/>
      <c r="E168" s="9"/>
      <c r="F168" s="16"/>
      <c r="G168" s="9"/>
      <c r="H168" s="9"/>
      <c r="I168" s="9"/>
      <c r="N168" s="8"/>
      <c r="O168" s="9"/>
      <c r="P168" s="9"/>
    </row>
    <row r="169" spans="1:16" x14ac:dyDescent="0.2">
      <c r="A169" s="8">
        <v>169</v>
      </c>
      <c r="B169" s="8"/>
      <c r="C169" s="9"/>
      <c r="D169" s="9"/>
      <c r="E169" s="9"/>
      <c r="F169" s="16"/>
      <c r="G169" s="9"/>
      <c r="H169" s="9"/>
      <c r="I169" s="9"/>
      <c r="N169" s="8"/>
      <c r="O169" s="9"/>
      <c r="P169" s="9"/>
    </row>
    <row r="170" spans="1:16" x14ac:dyDescent="0.2">
      <c r="A170" s="8">
        <v>170</v>
      </c>
      <c r="B170" s="8"/>
      <c r="C170" s="9"/>
      <c r="D170" s="9"/>
      <c r="E170" s="9"/>
      <c r="F170" s="16"/>
      <c r="G170" s="9"/>
      <c r="H170" s="9"/>
      <c r="I170" s="9"/>
      <c r="N170" s="8"/>
      <c r="O170" s="9"/>
      <c r="P170" s="9"/>
    </row>
    <row r="171" spans="1:16" x14ac:dyDescent="0.2">
      <c r="A171" s="8">
        <v>171</v>
      </c>
      <c r="B171" s="8"/>
      <c r="C171" s="9"/>
      <c r="D171" s="9"/>
      <c r="E171" s="9"/>
      <c r="F171" s="16"/>
      <c r="G171" s="9"/>
      <c r="H171" s="9"/>
      <c r="I171" s="9"/>
      <c r="N171" s="8"/>
      <c r="O171" s="9"/>
      <c r="P171" s="9"/>
    </row>
    <row r="172" spans="1:16" x14ac:dyDescent="0.2">
      <c r="A172" s="8">
        <v>172</v>
      </c>
      <c r="B172" s="8"/>
      <c r="C172" s="9"/>
      <c r="D172" s="9"/>
      <c r="E172" s="9"/>
      <c r="F172" s="16"/>
      <c r="G172" s="9"/>
      <c r="H172" s="9"/>
      <c r="I172" s="9"/>
      <c r="N172" s="8"/>
      <c r="O172" s="9"/>
      <c r="P172" s="9"/>
    </row>
    <row r="173" spans="1:16" x14ac:dyDescent="0.2">
      <c r="A173" s="8">
        <v>173</v>
      </c>
      <c r="B173" s="8"/>
      <c r="C173" s="9"/>
      <c r="D173" s="9"/>
      <c r="E173" s="9"/>
      <c r="F173" s="16"/>
      <c r="G173" s="9"/>
      <c r="H173" s="9"/>
      <c r="I173" s="9"/>
      <c r="N173" s="8"/>
      <c r="O173" s="9"/>
      <c r="P173" s="9"/>
    </row>
    <row r="174" spans="1:16" x14ac:dyDescent="0.2">
      <c r="A174" s="8">
        <v>174</v>
      </c>
      <c r="B174" s="8"/>
      <c r="C174" s="9"/>
      <c r="D174" s="9"/>
      <c r="E174" s="9"/>
      <c r="F174" s="16"/>
      <c r="G174" s="9"/>
      <c r="H174" s="9"/>
      <c r="I174" s="9"/>
      <c r="N174" s="8"/>
      <c r="O174" s="9"/>
      <c r="P174" s="9"/>
    </row>
    <row r="175" spans="1:16" x14ac:dyDescent="0.2">
      <c r="A175" s="8">
        <v>175</v>
      </c>
      <c r="B175" s="8"/>
      <c r="C175" s="9"/>
      <c r="D175" s="9"/>
      <c r="E175" s="9"/>
      <c r="F175" s="16"/>
      <c r="G175" s="9"/>
      <c r="H175" s="9"/>
      <c r="I175" s="9"/>
      <c r="N175" s="8"/>
      <c r="O175" s="9"/>
      <c r="P175" s="9"/>
    </row>
    <row r="176" spans="1:16" x14ac:dyDescent="0.2">
      <c r="A176" s="8">
        <v>176</v>
      </c>
      <c r="B176" s="8"/>
      <c r="C176" s="9"/>
      <c r="D176" s="9"/>
      <c r="E176" s="9"/>
      <c r="F176" s="16"/>
      <c r="G176" s="9"/>
      <c r="H176" s="9"/>
      <c r="I176" s="9"/>
      <c r="N176" s="8"/>
      <c r="O176" s="9"/>
      <c r="P176" s="9"/>
    </row>
    <row r="177" spans="1:16" x14ac:dyDescent="0.2">
      <c r="A177" s="8">
        <v>177</v>
      </c>
      <c r="B177" s="8"/>
      <c r="C177" s="9"/>
      <c r="D177" s="9"/>
      <c r="E177" s="9"/>
      <c r="F177" s="16"/>
      <c r="G177" s="9"/>
      <c r="H177" s="9"/>
      <c r="I177" s="9"/>
      <c r="N177" s="8"/>
      <c r="O177" s="9"/>
      <c r="P177" s="9"/>
    </row>
    <row r="178" spans="1:16" x14ac:dyDescent="0.2">
      <c r="A178" s="8">
        <v>178</v>
      </c>
      <c r="B178" s="8"/>
      <c r="C178" s="9"/>
      <c r="D178" s="9"/>
      <c r="E178" s="9"/>
      <c r="F178" s="16"/>
      <c r="G178" s="9"/>
      <c r="H178" s="9"/>
      <c r="I178" s="9"/>
      <c r="N178" s="8"/>
      <c r="O178" s="9"/>
      <c r="P178" s="9"/>
    </row>
    <row r="179" spans="1:16" x14ac:dyDescent="0.2">
      <c r="A179" s="8">
        <v>179</v>
      </c>
      <c r="B179" s="8"/>
      <c r="C179" s="9"/>
      <c r="D179" s="9"/>
      <c r="E179" s="9"/>
      <c r="F179" s="16"/>
      <c r="G179" s="9"/>
      <c r="H179" s="9"/>
      <c r="I179" s="9"/>
      <c r="N179" s="8"/>
      <c r="O179" s="9"/>
      <c r="P179" s="9"/>
    </row>
    <row r="180" spans="1:16" x14ac:dyDescent="0.2">
      <c r="A180" s="8">
        <v>180</v>
      </c>
      <c r="B180" s="8"/>
      <c r="C180" s="9"/>
      <c r="D180" s="9"/>
      <c r="E180" s="9"/>
      <c r="F180" s="16"/>
      <c r="G180" s="9"/>
      <c r="H180" s="9"/>
      <c r="I180" s="9"/>
      <c r="N180" s="8"/>
      <c r="O180" s="9"/>
      <c r="P180" s="9"/>
    </row>
  </sheetData>
  <autoFilter ref="A1:L180" xr:uid="{00000000-0001-0000-0000-000000000000}"/>
  <conditionalFormatting sqref="J1:J1048576 J65:L66 J70:L70 J75:L75">
    <cfRule type="cellIs" dxfId="20" priority="28" operator="equal">
      <formula>"не предоставлен"</formula>
    </cfRule>
  </conditionalFormatting>
  <conditionalFormatting sqref="J82:K82">
    <cfRule type="cellIs" dxfId="19" priority="2" stopIfTrue="1" operator="equal">
      <formula>"ожидается в сентябре"</formula>
    </cfRule>
    <cfRule type="cellIs" dxfId="18" priority="3" operator="equal">
      <formula>"принят"</formula>
    </cfRule>
  </conditionalFormatting>
  <conditionalFormatting sqref="J2:L18 J20:L28 J30:L30 J32:L32 J33 J34:L34 J38:L38 J41:L42 J44:L47 J49:L49 J51:L57 J60:L61 J65:L67 J70:L77 J80:L80 J83:L92">
    <cfRule type="cellIs" dxfId="17" priority="51" stopIfTrue="1" operator="equal">
      <formula>"ожидается в сентябре"</formula>
    </cfRule>
    <cfRule type="cellIs" dxfId="16" priority="52" operator="equal">
      <formula>"принят"</formula>
    </cfRule>
  </conditionalFormatting>
  <conditionalFormatting sqref="K22:K24">
    <cfRule type="cellIs" dxfId="15" priority="15" operator="equal">
      <formula>"не предоставлен"</formula>
    </cfRule>
  </conditionalFormatting>
  <conditionalFormatting sqref="K26:K27">
    <cfRule type="cellIs" dxfId="14" priority="10" operator="equal">
      <formula>"не предоставлен"</formula>
    </cfRule>
  </conditionalFormatting>
  <conditionalFormatting sqref="K61">
    <cfRule type="cellIs" dxfId="13" priority="4" operator="equal">
      <formula>"не предоставлен"</formula>
    </cfRule>
  </conditionalFormatting>
  <conditionalFormatting sqref="K82">
    <cfRule type="cellIs" dxfId="12" priority="1" operator="equal">
      <formula>"не предоставлен"</formula>
    </cfRule>
  </conditionalFormatting>
  <conditionalFormatting sqref="K5:L5">
    <cfRule type="cellIs" dxfId="11" priority="26" operator="equal">
      <formula>"не предоставлен"</formula>
    </cfRule>
  </conditionalFormatting>
  <conditionalFormatting sqref="K10:L10">
    <cfRule type="cellIs" dxfId="10" priority="24" operator="equal">
      <formula>"не предоставлен"</formula>
    </cfRule>
  </conditionalFormatting>
  <conditionalFormatting sqref="K17:L18">
    <cfRule type="cellIs" dxfId="9" priority="20" operator="equal">
      <formula>"не предоставлен"</formula>
    </cfRule>
  </conditionalFormatting>
  <conditionalFormatting sqref="K29:L29">
    <cfRule type="cellIs" dxfId="8" priority="7" operator="equal">
      <formula>"не предоставлен"</formula>
    </cfRule>
  </conditionalFormatting>
  <conditionalFormatting sqref="K31:L31">
    <cfRule type="cellIs" dxfId="7" priority="5" operator="equal">
      <formula>"не предоставлен"</formula>
    </cfRule>
  </conditionalFormatting>
  <conditionalFormatting sqref="L22:L27">
    <cfRule type="cellIs" dxfId="6" priority="9" operator="equal">
      <formula>"не предоставлен"</formula>
    </cfRule>
  </conditionalFormatting>
  <conditionalFormatting sqref="M1:M1048576">
    <cfRule type="cellIs" dxfId="5" priority="33" operator="equal">
      <formula>"соблюдены"</formula>
    </cfRule>
  </conditionalFormatting>
  <conditionalFormatting sqref="N2:N92">
    <cfRule type="cellIs" dxfId="4" priority="30" operator="greaterThan">
      <formula>12</formula>
    </cfRule>
    <cfRule type="cellIs" dxfId="3" priority="31" operator="between">
      <formula>10</formula>
      <formula>12</formula>
    </cfRule>
    <cfRule type="cellIs" dxfId="2" priority="32" operator="lessThan">
      <formula>10</formula>
    </cfRule>
  </conditionalFormatting>
  <conditionalFormatting sqref="O1:O1048576">
    <cfRule type="cellIs" dxfId="1" priority="29" operator="equal">
      <formula>"соблюдены"</formula>
    </cfRule>
  </conditionalFormatting>
  <conditionalFormatting sqref="P1:P1048576">
    <cfRule type="cellIs" dxfId="0" priority="34" operator="equal">
      <formula>"соблюдена"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6654-1045-4363-846F-2F971FCEF09A}">
  <dimension ref="A1:P180"/>
  <sheetViews>
    <sheetView workbookViewId="0">
      <selection sqref="A1:P180"/>
    </sheetView>
  </sheetViews>
  <sheetFormatPr baseColWidth="10" defaultColWidth="8.83203125" defaultRowHeight="15" x14ac:dyDescent="0.2"/>
  <sheetData>
    <row r="1" spans="1:16" x14ac:dyDescent="0.2">
      <c r="A1" t="s">
        <v>0</v>
      </c>
      <c r="B1" t="s">
        <v>2</v>
      </c>
      <c r="C1" t="s">
        <v>3</v>
      </c>
      <c r="D1" t="s">
        <v>4</v>
      </c>
      <c r="E1" t="s">
        <v>3</v>
      </c>
      <c r="F1" t="s">
        <v>1</v>
      </c>
      <c r="G1" t="s">
        <v>98</v>
      </c>
      <c r="H1" t="s">
        <v>97</v>
      </c>
      <c r="I1" t="s">
        <v>99</v>
      </c>
      <c r="J1" t="s">
        <v>110</v>
      </c>
      <c r="K1" t="s">
        <v>111</v>
      </c>
      <c r="L1" t="s">
        <v>112</v>
      </c>
      <c r="M1" t="s">
        <v>136</v>
      </c>
      <c r="N1" t="s">
        <v>129</v>
      </c>
      <c r="O1" t="s">
        <v>146</v>
      </c>
      <c r="P1" t="s">
        <v>147</v>
      </c>
    </row>
    <row r="2" spans="1:16" x14ac:dyDescent="0.2">
      <c r="A2">
        <v>1</v>
      </c>
      <c r="B2">
        <v>2</v>
      </c>
      <c r="C2" t="s">
        <v>20</v>
      </c>
      <c r="D2" t="s">
        <v>21</v>
      </c>
      <c r="E2" t="s">
        <v>116</v>
      </c>
      <c r="F2" t="s">
        <v>5</v>
      </c>
      <c r="G2">
        <v>70</v>
      </c>
      <c r="H2" t="s">
        <v>149</v>
      </c>
      <c r="I2">
        <v>2.33</v>
      </c>
      <c r="J2" t="s">
        <v>113</v>
      </c>
      <c r="K2" t="s">
        <v>113</v>
      </c>
      <c r="L2" t="s">
        <v>113</v>
      </c>
      <c r="M2" t="s">
        <v>137</v>
      </c>
      <c r="O2" t="s">
        <v>137</v>
      </c>
    </row>
    <row r="3" spans="1:16" x14ac:dyDescent="0.2">
      <c r="A3">
        <v>2</v>
      </c>
      <c r="B3">
        <v>2</v>
      </c>
      <c r="C3" t="s">
        <v>20</v>
      </c>
      <c r="D3" t="s">
        <v>21</v>
      </c>
      <c r="E3" t="s">
        <v>116</v>
      </c>
      <c r="F3" t="s">
        <v>6</v>
      </c>
      <c r="G3">
        <v>70</v>
      </c>
      <c r="H3" t="s">
        <v>149</v>
      </c>
      <c r="I3">
        <v>2.33</v>
      </c>
      <c r="J3" t="s">
        <v>113</v>
      </c>
      <c r="K3" t="s">
        <v>113</v>
      </c>
      <c r="L3" t="s">
        <v>114</v>
      </c>
      <c r="M3" t="s">
        <v>137</v>
      </c>
    </row>
    <row r="4" spans="1:16" x14ac:dyDescent="0.2">
      <c r="A4">
        <v>3</v>
      </c>
      <c r="B4">
        <v>2</v>
      </c>
      <c r="C4" t="s">
        <v>20</v>
      </c>
      <c r="D4" t="s">
        <v>21</v>
      </c>
      <c r="E4" t="s">
        <v>116</v>
      </c>
      <c r="F4" t="s">
        <v>7</v>
      </c>
      <c r="G4">
        <v>70</v>
      </c>
      <c r="H4" t="s">
        <v>149</v>
      </c>
      <c r="I4">
        <v>2.33</v>
      </c>
      <c r="J4" t="s">
        <v>113</v>
      </c>
      <c r="K4" t="s">
        <v>113</v>
      </c>
      <c r="L4" t="s">
        <v>113</v>
      </c>
      <c r="M4" t="s">
        <v>137</v>
      </c>
    </row>
    <row r="5" spans="1:16" x14ac:dyDescent="0.2">
      <c r="A5">
        <v>4</v>
      </c>
      <c r="B5">
        <v>2</v>
      </c>
      <c r="C5" t="s">
        <v>20</v>
      </c>
      <c r="D5" t="s">
        <v>21</v>
      </c>
      <c r="E5" t="s">
        <v>116</v>
      </c>
      <c r="F5" t="s">
        <v>8</v>
      </c>
      <c r="G5">
        <v>75</v>
      </c>
      <c r="H5" t="s">
        <v>150</v>
      </c>
      <c r="I5">
        <v>2.67</v>
      </c>
      <c r="J5" t="s">
        <v>127</v>
      </c>
      <c r="K5" t="s">
        <v>115</v>
      </c>
      <c r="L5" t="s">
        <v>115</v>
      </c>
      <c r="M5" t="s">
        <v>138</v>
      </c>
      <c r="N5">
        <v>14</v>
      </c>
      <c r="O5" t="s">
        <v>141</v>
      </c>
      <c r="P5" t="s">
        <v>148</v>
      </c>
    </row>
    <row r="6" spans="1:16" x14ac:dyDescent="0.2">
      <c r="A6">
        <v>5</v>
      </c>
      <c r="B6">
        <v>2</v>
      </c>
      <c r="C6" t="s">
        <v>20</v>
      </c>
      <c r="D6" t="s">
        <v>21</v>
      </c>
      <c r="E6" t="s">
        <v>116</v>
      </c>
      <c r="F6" t="s">
        <v>9</v>
      </c>
      <c r="G6">
        <v>80</v>
      </c>
      <c r="H6" t="s">
        <v>151</v>
      </c>
      <c r="I6">
        <v>3</v>
      </c>
      <c r="J6" t="s">
        <v>113</v>
      </c>
      <c r="K6" t="s">
        <v>113</v>
      </c>
      <c r="L6" t="s">
        <v>113</v>
      </c>
      <c r="M6" t="s">
        <v>137</v>
      </c>
    </row>
    <row r="7" spans="1:16" x14ac:dyDescent="0.2">
      <c r="A7">
        <v>6</v>
      </c>
      <c r="B7">
        <v>2</v>
      </c>
      <c r="C7" t="s">
        <v>20</v>
      </c>
      <c r="D7" t="s">
        <v>21</v>
      </c>
      <c r="E7" t="s">
        <v>116</v>
      </c>
      <c r="F7" t="s">
        <v>10</v>
      </c>
      <c r="G7">
        <v>80</v>
      </c>
      <c r="H7" t="s">
        <v>151</v>
      </c>
      <c r="I7">
        <v>3</v>
      </c>
      <c r="J7" t="s">
        <v>113</v>
      </c>
      <c r="K7" t="s">
        <v>113</v>
      </c>
      <c r="L7" t="s">
        <v>113</v>
      </c>
      <c r="M7" t="s">
        <v>137</v>
      </c>
    </row>
    <row r="8" spans="1:16" x14ac:dyDescent="0.2">
      <c r="A8">
        <v>7</v>
      </c>
      <c r="B8">
        <v>2</v>
      </c>
      <c r="C8" t="s">
        <v>20</v>
      </c>
      <c r="D8" t="s">
        <v>21</v>
      </c>
      <c r="E8" t="s">
        <v>116</v>
      </c>
      <c r="F8" t="s">
        <v>11</v>
      </c>
      <c r="G8">
        <v>70</v>
      </c>
      <c r="H8" t="s">
        <v>149</v>
      </c>
      <c r="I8">
        <v>2.33</v>
      </c>
      <c r="J8" t="s">
        <v>113</v>
      </c>
      <c r="K8" t="s">
        <v>113</v>
      </c>
      <c r="L8" t="s">
        <v>113</v>
      </c>
      <c r="M8" t="s">
        <v>137</v>
      </c>
    </row>
    <row r="9" spans="1:16" x14ac:dyDescent="0.2">
      <c r="A9">
        <v>8</v>
      </c>
      <c r="B9">
        <v>2</v>
      </c>
      <c r="C9" t="s">
        <v>20</v>
      </c>
      <c r="D9" t="s">
        <v>21</v>
      </c>
      <c r="E9" t="s">
        <v>116</v>
      </c>
      <c r="F9" t="s">
        <v>12</v>
      </c>
      <c r="G9">
        <v>90</v>
      </c>
      <c r="H9" t="s">
        <v>152</v>
      </c>
      <c r="I9">
        <v>3.67</v>
      </c>
      <c r="J9" t="s">
        <v>113</v>
      </c>
      <c r="K9" t="s">
        <v>113</v>
      </c>
      <c r="L9" t="s">
        <v>113</v>
      </c>
      <c r="M9" t="s">
        <v>137</v>
      </c>
    </row>
    <row r="10" spans="1:16" x14ac:dyDescent="0.2">
      <c r="A10">
        <v>9</v>
      </c>
      <c r="B10">
        <v>2</v>
      </c>
      <c r="C10" t="s">
        <v>20</v>
      </c>
      <c r="D10" t="s">
        <v>21</v>
      </c>
      <c r="E10" t="s">
        <v>116</v>
      </c>
      <c r="F10" t="s">
        <v>13</v>
      </c>
      <c r="G10">
        <v>70</v>
      </c>
      <c r="H10" t="s">
        <v>149</v>
      </c>
      <c r="I10">
        <v>2.33</v>
      </c>
      <c r="J10" t="s">
        <v>115</v>
      </c>
      <c r="K10" t="s">
        <v>115</v>
      </c>
      <c r="L10" t="s">
        <v>115</v>
      </c>
      <c r="M10" t="s">
        <v>137</v>
      </c>
      <c r="N10">
        <v>14</v>
      </c>
      <c r="O10" t="s">
        <v>141</v>
      </c>
      <c r="P10" t="s">
        <v>148</v>
      </c>
    </row>
    <row r="11" spans="1:16" x14ac:dyDescent="0.2">
      <c r="A11">
        <v>10</v>
      </c>
      <c r="B11">
        <v>2</v>
      </c>
      <c r="C11" t="s">
        <v>20</v>
      </c>
      <c r="D11" t="s">
        <v>21</v>
      </c>
      <c r="E11" t="s">
        <v>116</v>
      </c>
      <c r="F11" t="s">
        <v>14</v>
      </c>
      <c r="G11">
        <v>90</v>
      </c>
      <c r="H11" t="s">
        <v>152</v>
      </c>
      <c r="I11">
        <v>3.67</v>
      </c>
      <c r="J11" t="s">
        <v>113</v>
      </c>
      <c r="K11" t="s">
        <v>113</v>
      </c>
      <c r="L11" t="s">
        <v>113</v>
      </c>
      <c r="M11" t="s">
        <v>137</v>
      </c>
    </row>
    <row r="12" spans="1:16" x14ac:dyDescent="0.2">
      <c r="A12">
        <v>11</v>
      </c>
      <c r="B12">
        <v>2</v>
      </c>
      <c r="C12" t="s">
        <v>20</v>
      </c>
      <c r="D12" t="s">
        <v>21</v>
      </c>
      <c r="E12" t="s">
        <v>116</v>
      </c>
      <c r="F12" t="s">
        <v>15</v>
      </c>
      <c r="G12">
        <v>75</v>
      </c>
      <c r="H12" t="s">
        <v>150</v>
      </c>
      <c r="I12">
        <v>2.67</v>
      </c>
      <c r="J12" t="s">
        <v>113</v>
      </c>
      <c r="K12" t="s">
        <v>113</v>
      </c>
      <c r="L12" t="s">
        <v>113</v>
      </c>
      <c r="M12" t="s">
        <v>137</v>
      </c>
    </row>
    <row r="13" spans="1:16" x14ac:dyDescent="0.2">
      <c r="A13">
        <v>12</v>
      </c>
      <c r="B13">
        <v>2</v>
      </c>
      <c r="C13" t="s">
        <v>20</v>
      </c>
      <c r="D13" t="s">
        <v>21</v>
      </c>
      <c r="E13" t="s">
        <v>116</v>
      </c>
      <c r="F13" t="s">
        <v>16</v>
      </c>
      <c r="G13">
        <v>81</v>
      </c>
      <c r="H13" t="s">
        <v>151</v>
      </c>
      <c r="I13">
        <v>3</v>
      </c>
      <c r="J13" t="s">
        <v>113</v>
      </c>
      <c r="K13" t="s">
        <v>113</v>
      </c>
      <c r="L13" t="s">
        <v>113</v>
      </c>
      <c r="M13" t="s">
        <v>137</v>
      </c>
    </row>
    <row r="14" spans="1:16" x14ac:dyDescent="0.2">
      <c r="A14">
        <v>13</v>
      </c>
      <c r="B14">
        <v>2</v>
      </c>
      <c r="C14" t="s">
        <v>20</v>
      </c>
      <c r="D14" t="s">
        <v>21</v>
      </c>
      <c r="E14" t="s">
        <v>116</v>
      </c>
      <c r="F14" t="s">
        <v>17</v>
      </c>
      <c r="G14">
        <v>95</v>
      </c>
      <c r="H14" t="s">
        <v>153</v>
      </c>
      <c r="I14">
        <v>4</v>
      </c>
      <c r="J14" t="s">
        <v>113</v>
      </c>
      <c r="K14" t="s">
        <v>113</v>
      </c>
      <c r="L14" t="s">
        <v>113</v>
      </c>
      <c r="M14" t="s">
        <v>137</v>
      </c>
    </row>
    <row r="15" spans="1:16" x14ac:dyDescent="0.2">
      <c r="A15">
        <v>14</v>
      </c>
      <c r="B15">
        <v>2</v>
      </c>
      <c r="C15" t="s">
        <v>20</v>
      </c>
      <c r="D15" t="s">
        <v>21</v>
      </c>
      <c r="E15" t="s">
        <v>116</v>
      </c>
      <c r="F15" t="s">
        <v>18</v>
      </c>
      <c r="G15">
        <v>80</v>
      </c>
      <c r="H15" t="s">
        <v>151</v>
      </c>
      <c r="I15">
        <v>3</v>
      </c>
      <c r="J15" t="s">
        <v>113</v>
      </c>
      <c r="K15" t="s">
        <v>113</v>
      </c>
      <c r="L15" t="s">
        <v>113</v>
      </c>
      <c r="M15" t="s">
        <v>138</v>
      </c>
    </row>
    <row r="16" spans="1:16" x14ac:dyDescent="0.2">
      <c r="A16">
        <v>15</v>
      </c>
      <c r="B16">
        <v>2</v>
      </c>
      <c r="C16" t="s">
        <v>20</v>
      </c>
      <c r="D16" t="s">
        <v>21</v>
      </c>
      <c r="E16" t="s">
        <v>116</v>
      </c>
      <c r="F16" t="s">
        <v>19</v>
      </c>
      <c r="G16">
        <v>90</v>
      </c>
      <c r="H16" t="s">
        <v>152</v>
      </c>
      <c r="I16">
        <v>3.67</v>
      </c>
      <c r="J16" t="s">
        <v>113</v>
      </c>
      <c r="K16" t="s">
        <v>113</v>
      </c>
      <c r="L16" t="s">
        <v>113</v>
      </c>
      <c r="M16" t="s">
        <v>137</v>
      </c>
    </row>
    <row r="17" spans="1:16" x14ac:dyDescent="0.2">
      <c r="A17">
        <v>16</v>
      </c>
      <c r="B17">
        <v>3</v>
      </c>
      <c r="C17" t="s">
        <v>34</v>
      </c>
      <c r="D17" t="s">
        <v>33</v>
      </c>
      <c r="E17" t="s">
        <v>117</v>
      </c>
      <c r="F17" t="s">
        <v>22</v>
      </c>
      <c r="G17">
        <v>95</v>
      </c>
      <c r="H17" t="s">
        <v>153</v>
      </c>
      <c r="I17">
        <v>4</v>
      </c>
      <c r="J17" t="s">
        <v>113</v>
      </c>
      <c r="K17" t="s">
        <v>115</v>
      </c>
      <c r="L17" t="s">
        <v>115</v>
      </c>
      <c r="M17" t="s">
        <v>137</v>
      </c>
      <c r="N17">
        <v>17</v>
      </c>
      <c r="O17" t="s">
        <v>128</v>
      </c>
      <c r="P17" t="s">
        <v>128</v>
      </c>
    </row>
    <row r="18" spans="1:16" x14ac:dyDescent="0.2">
      <c r="A18">
        <v>17</v>
      </c>
      <c r="B18">
        <v>3</v>
      </c>
      <c r="C18" t="s">
        <v>34</v>
      </c>
      <c r="D18" t="s">
        <v>33</v>
      </c>
      <c r="E18" t="s">
        <v>117</v>
      </c>
      <c r="F18" t="s">
        <v>23</v>
      </c>
      <c r="G18">
        <v>95</v>
      </c>
      <c r="H18" t="s">
        <v>153</v>
      </c>
      <c r="I18">
        <v>4</v>
      </c>
      <c r="J18" t="s">
        <v>113</v>
      </c>
      <c r="K18" t="s">
        <v>115</v>
      </c>
      <c r="L18" t="s">
        <v>115</v>
      </c>
      <c r="M18" t="s">
        <v>137</v>
      </c>
      <c r="N18">
        <v>24</v>
      </c>
      <c r="O18" t="s">
        <v>128</v>
      </c>
      <c r="P18" t="s">
        <v>128</v>
      </c>
    </row>
    <row r="19" spans="1:16" x14ac:dyDescent="0.2">
      <c r="A19">
        <v>18</v>
      </c>
      <c r="B19">
        <v>3</v>
      </c>
      <c r="C19" t="s">
        <v>34</v>
      </c>
      <c r="D19" t="s">
        <v>33</v>
      </c>
      <c r="E19" t="s">
        <v>117</v>
      </c>
      <c r="F19" t="s">
        <v>24</v>
      </c>
      <c r="G19" t="s">
        <v>121</v>
      </c>
      <c r="H19" t="s">
        <v>153</v>
      </c>
      <c r="I19">
        <v>4</v>
      </c>
      <c r="J19" t="s">
        <v>121</v>
      </c>
      <c r="K19" t="s">
        <v>121</v>
      </c>
      <c r="L19" t="s">
        <v>121</v>
      </c>
    </row>
    <row r="20" spans="1:16" x14ac:dyDescent="0.2">
      <c r="A20">
        <v>19</v>
      </c>
      <c r="B20">
        <v>3</v>
      </c>
      <c r="C20" t="s">
        <v>34</v>
      </c>
      <c r="D20" t="s">
        <v>33</v>
      </c>
      <c r="E20" t="s">
        <v>117</v>
      </c>
      <c r="F20" t="s">
        <v>25</v>
      </c>
      <c r="G20">
        <v>90</v>
      </c>
      <c r="H20" t="s">
        <v>152</v>
      </c>
      <c r="I20">
        <v>3.67</v>
      </c>
      <c r="J20" t="s">
        <v>113</v>
      </c>
      <c r="K20" t="s">
        <v>113</v>
      </c>
      <c r="L20" t="s">
        <v>113</v>
      </c>
      <c r="M20" t="s">
        <v>137</v>
      </c>
    </row>
    <row r="21" spans="1:16" x14ac:dyDescent="0.2">
      <c r="A21">
        <v>20</v>
      </c>
      <c r="B21">
        <v>3</v>
      </c>
      <c r="C21" t="s">
        <v>34</v>
      </c>
      <c r="D21" t="s">
        <v>33</v>
      </c>
      <c r="E21" t="s">
        <v>117</v>
      </c>
      <c r="F21" t="s">
        <v>26</v>
      </c>
      <c r="G21">
        <v>20</v>
      </c>
      <c r="H21" t="s">
        <v>154</v>
      </c>
      <c r="I21">
        <v>0</v>
      </c>
      <c r="J21" t="s">
        <v>130</v>
      </c>
      <c r="K21" t="s">
        <v>131</v>
      </c>
      <c r="L21" t="s">
        <v>126</v>
      </c>
      <c r="M21" t="s">
        <v>139</v>
      </c>
      <c r="N21">
        <v>2</v>
      </c>
      <c r="O21" t="s">
        <v>132</v>
      </c>
      <c r="P21" t="s">
        <v>132</v>
      </c>
    </row>
    <row r="22" spans="1:16" x14ac:dyDescent="0.2">
      <c r="A22">
        <v>21</v>
      </c>
      <c r="B22">
        <v>3</v>
      </c>
      <c r="C22" t="s">
        <v>34</v>
      </c>
      <c r="D22" t="s">
        <v>33</v>
      </c>
      <c r="E22" t="s">
        <v>117</v>
      </c>
      <c r="F22" t="s">
        <v>27</v>
      </c>
      <c r="G22">
        <v>80</v>
      </c>
      <c r="H22" t="s">
        <v>151</v>
      </c>
      <c r="I22">
        <v>3</v>
      </c>
      <c r="J22" t="s">
        <v>115</v>
      </c>
      <c r="K22" t="s">
        <v>115</v>
      </c>
      <c r="L22" t="s">
        <v>115</v>
      </c>
      <c r="M22" t="s">
        <v>137</v>
      </c>
      <c r="N22">
        <v>15</v>
      </c>
      <c r="O22" t="s">
        <v>142</v>
      </c>
      <c r="P22" t="s">
        <v>128</v>
      </c>
    </row>
    <row r="23" spans="1:16" x14ac:dyDescent="0.2">
      <c r="A23">
        <v>22</v>
      </c>
      <c r="B23">
        <v>3</v>
      </c>
      <c r="C23" t="s">
        <v>34</v>
      </c>
      <c r="D23" t="s">
        <v>33</v>
      </c>
      <c r="E23" t="s">
        <v>117</v>
      </c>
      <c r="F23" t="s">
        <v>28</v>
      </c>
      <c r="G23">
        <v>90</v>
      </c>
      <c r="H23" t="s">
        <v>152</v>
      </c>
      <c r="I23">
        <v>3.67</v>
      </c>
      <c r="J23" t="s">
        <v>115</v>
      </c>
      <c r="K23" t="s">
        <v>114</v>
      </c>
      <c r="L23" t="s">
        <v>115</v>
      </c>
      <c r="M23" t="s">
        <v>137</v>
      </c>
      <c r="N23">
        <v>16</v>
      </c>
      <c r="O23" t="s">
        <v>143</v>
      </c>
      <c r="P23" t="s">
        <v>128</v>
      </c>
    </row>
    <row r="24" spans="1:16" x14ac:dyDescent="0.2">
      <c r="A24">
        <v>23</v>
      </c>
      <c r="B24">
        <v>3</v>
      </c>
      <c r="C24" t="s">
        <v>34</v>
      </c>
      <c r="D24" t="s">
        <v>33</v>
      </c>
      <c r="E24" t="s">
        <v>117</v>
      </c>
      <c r="F24" t="s">
        <v>29</v>
      </c>
      <c r="G24">
        <v>70</v>
      </c>
      <c r="H24" t="s">
        <v>149</v>
      </c>
      <c r="I24">
        <v>2.33</v>
      </c>
      <c r="J24" t="s">
        <v>115</v>
      </c>
      <c r="K24" t="s">
        <v>115</v>
      </c>
      <c r="L24" t="s">
        <v>115</v>
      </c>
      <c r="M24" t="s">
        <v>137</v>
      </c>
      <c r="N24">
        <v>13</v>
      </c>
      <c r="O24" t="s">
        <v>143</v>
      </c>
      <c r="P24" t="s">
        <v>128</v>
      </c>
    </row>
    <row r="25" spans="1:16" x14ac:dyDescent="0.2">
      <c r="A25">
        <v>24</v>
      </c>
      <c r="B25">
        <v>3</v>
      </c>
      <c r="C25" t="s">
        <v>34</v>
      </c>
      <c r="D25" t="s">
        <v>33</v>
      </c>
      <c r="E25" t="s">
        <v>117</v>
      </c>
      <c r="F25" t="s">
        <v>30</v>
      </c>
      <c r="G25">
        <v>0</v>
      </c>
      <c r="H25" t="s">
        <v>154</v>
      </c>
      <c r="I25">
        <v>0</v>
      </c>
      <c r="J25" t="s">
        <v>127</v>
      </c>
      <c r="K25" t="s">
        <v>127</v>
      </c>
      <c r="L25" t="s">
        <v>127</v>
      </c>
      <c r="M25" t="s">
        <v>139</v>
      </c>
    </row>
    <row r="26" spans="1:16" x14ac:dyDescent="0.2">
      <c r="A26">
        <v>25</v>
      </c>
      <c r="B26">
        <v>3</v>
      </c>
      <c r="C26" t="s">
        <v>34</v>
      </c>
      <c r="D26" t="s">
        <v>33</v>
      </c>
      <c r="E26" t="s">
        <v>117</v>
      </c>
      <c r="F26" t="s">
        <v>31</v>
      </c>
      <c r="G26">
        <v>30</v>
      </c>
      <c r="H26" t="s">
        <v>155</v>
      </c>
      <c r="I26">
        <v>0.5</v>
      </c>
      <c r="J26" t="s">
        <v>113</v>
      </c>
      <c r="K26" t="s">
        <v>115</v>
      </c>
      <c r="L26" t="s">
        <v>115</v>
      </c>
      <c r="M26" t="s">
        <v>139</v>
      </c>
      <c r="N26">
        <v>7</v>
      </c>
      <c r="O26" t="s">
        <v>141</v>
      </c>
      <c r="P26" t="s">
        <v>133</v>
      </c>
    </row>
    <row r="27" spans="1:16" x14ac:dyDescent="0.2">
      <c r="A27">
        <v>26</v>
      </c>
      <c r="B27">
        <v>3</v>
      </c>
      <c r="C27" t="s">
        <v>34</v>
      </c>
      <c r="D27" t="s">
        <v>33</v>
      </c>
      <c r="E27" t="s">
        <v>117</v>
      </c>
      <c r="F27" t="s">
        <v>32</v>
      </c>
      <c r="G27">
        <v>0</v>
      </c>
      <c r="H27" t="s">
        <v>154</v>
      </c>
      <c r="I27">
        <v>0</v>
      </c>
      <c r="J27" t="s">
        <v>127</v>
      </c>
      <c r="K27" t="s">
        <v>127</v>
      </c>
      <c r="L27" t="s">
        <v>127</v>
      </c>
      <c r="M27" t="s">
        <v>139</v>
      </c>
    </row>
    <row r="28" spans="1:16" x14ac:dyDescent="0.2">
      <c r="A28">
        <v>27</v>
      </c>
      <c r="B28">
        <v>3</v>
      </c>
      <c r="C28" t="s">
        <v>35</v>
      </c>
      <c r="D28" t="s">
        <v>33</v>
      </c>
      <c r="E28" t="s">
        <v>118</v>
      </c>
      <c r="F28" t="s">
        <v>36</v>
      </c>
      <c r="G28">
        <v>95</v>
      </c>
      <c r="H28" t="s">
        <v>153</v>
      </c>
      <c r="I28">
        <v>4</v>
      </c>
      <c r="J28" t="s">
        <v>113</v>
      </c>
      <c r="K28" t="s">
        <v>113</v>
      </c>
      <c r="L28" t="s">
        <v>113</v>
      </c>
      <c r="M28" t="s">
        <v>137</v>
      </c>
    </row>
    <row r="29" spans="1:16" x14ac:dyDescent="0.2">
      <c r="A29">
        <v>28</v>
      </c>
      <c r="B29">
        <v>3</v>
      </c>
      <c r="C29" t="s">
        <v>35</v>
      </c>
      <c r="D29" t="s">
        <v>33</v>
      </c>
      <c r="E29" t="s">
        <v>118</v>
      </c>
      <c r="F29" t="s">
        <v>37</v>
      </c>
      <c r="G29" t="s">
        <v>122</v>
      </c>
      <c r="H29" t="s">
        <v>153</v>
      </c>
      <c r="I29">
        <v>4</v>
      </c>
      <c r="J29" t="s">
        <v>122</v>
      </c>
      <c r="K29" t="s">
        <v>122</v>
      </c>
      <c r="L29" t="s">
        <v>122</v>
      </c>
    </row>
    <row r="30" spans="1:16" x14ac:dyDescent="0.2">
      <c r="A30">
        <v>29</v>
      </c>
      <c r="B30">
        <v>3</v>
      </c>
      <c r="C30" t="s">
        <v>35</v>
      </c>
      <c r="D30" t="s">
        <v>33</v>
      </c>
      <c r="E30" t="s">
        <v>118</v>
      </c>
      <c r="F30" t="s">
        <v>38</v>
      </c>
      <c r="G30">
        <v>96</v>
      </c>
      <c r="H30" t="s">
        <v>153</v>
      </c>
      <c r="I30">
        <v>4</v>
      </c>
      <c r="J30" t="s">
        <v>113</v>
      </c>
      <c r="K30" t="s">
        <v>113</v>
      </c>
      <c r="L30" t="s">
        <v>113</v>
      </c>
      <c r="M30" t="s">
        <v>137</v>
      </c>
    </row>
    <row r="31" spans="1:16" x14ac:dyDescent="0.2">
      <c r="A31">
        <v>30</v>
      </c>
      <c r="B31">
        <v>3</v>
      </c>
      <c r="C31" t="s">
        <v>35</v>
      </c>
      <c r="D31" t="s">
        <v>33</v>
      </c>
      <c r="E31" t="s">
        <v>118</v>
      </c>
      <c r="F31" t="s">
        <v>39</v>
      </c>
      <c r="G31" t="s">
        <v>122</v>
      </c>
      <c r="H31" t="s">
        <v>153</v>
      </c>
      <c r="I31">
        <v>4</v>
      </c>
      <c r="J31" t="s">
        <v>122</v>
      </c>
      <c r="K31" t="s">
        <v>122</v>
      </c>
      <c r="L31" t="s">
        <v>122</v>
      </c>
    </row>
    <row r="32" spans="1:16" x14ac:dyDescent="0.2">
      <c r="A32">
        <v>31</v>
      </c>
      <c r="B32">
        <v>3</v>
      </c>
      <c r="C32" t="s">
        <v>35</v>
      </c>
      <c r="D32" t="s">
        <v>33</v>
      </c>
      <c r="E32" t="s">
        <v>118</v>
      </c>
      <c r="F32" t="s">
        <v>40</v>
      </c>
      <c r="G32">
        <v>93</v>
      </c>
      <c r="H32" t="s">
        <v>152</v>
      </c>
      <c r="I32">
        <v>3.67</v>
      </c>
      <c r="J32" t="s">
        <v>113</v>
      </c>
      <c r="K32" t="s">
        <v>113</v>
      </c>
      <c r="L32" t="s">
        <v>113</v>
      </c>
      <c r="M32" t="s">
        <v>137</v>
      </c>
    </row>
    <row r="33" spans="1:16" x14ac:dyDescent="0.2">
      <c r="A33">
        <v>32</v>
      </c>
      <c r="B33">
        <v>3</v>
      </c>
      <c r="C33" t="s">
        <v>35</v>
      </c>
      <c r="D33" t="s">
        <v>33</v>
      </c>
      <c r="E33" t="s">
        <v>118</v>
      </c>
      <c r="F33" t="s">
        <v>41</v>
      </c>
      <c r="G33" t="s">
        <v>122</v>
      </c>
      <c r="H33" t="s">
        <v>153</v>
      </c>
      <c r="I33">
        <v>4</v>
      </c>
      <c r="J33" t="s">
        <v>113</v>
      </c>
      <c r="K33" t="s">
        <v>122</v>
      </c>
      <c r="L33" t="s">
        <v>122</v>
      </c>
      <c r="M33" t="s">
        <v>140</v>
      </c>
    </row>
    <row r="34" spans="1:16" x14ac:dyDescent="0.2">
      <c r="A34">
        <v>33</v>
      </c>
      <c r="B34">
        <v>3</v>
      </c>
      <c r="C34" t="s">
        <v>35</v>
      </c>
      <c r="D34" t="s">
        <v>33</v>
      </c>
      <c r="E34" t="s">
        <v>118</v>
      </c>
      <c r="F34" t="s">
        <v>42</v>
      </c>
      <c r="G34">
        <v>100</v>
      </c>
      <c r="H34" t="s">
        <v>153</v>
      </c>
      <c r="I34">
        <v>4</v>
      </c>
      <c r="J34" t="s">
        <v>113</v>
      </c>
      <c r="K34" t="s">
        <v>113</v>
      </c>
      <c r="L34" t="s">
        <v>113</v>
      </c>
      <c r="M34" t="s">
        <v>137</v>
      </c>
    </row>
    <row r="35" spans="1:16" x14ac:dyDescent="0.2">
      <c r="A35">
        <v>34</v>
      </c>
      <c r="B35">
        <v>3</v>
      </c>
      <c r="C35" t="s">
        <v>35</v>
      </c>
      <c r="D35" t="s">
        <v>33</v>
      </c>
      <c r="E35" t="s">
        <v>118</v>
      </c>
      <c r="F35" t="s">
        <v>43</v>
      </c>
      <c r="G35" t="s">
        <v>122</v>
      </c>
      <c r="H35" t="s">
        <v>153</v>
      </c>
      <c r="I35">
        <v>4</v>
      </c>
      <c r="J35" t="s">
        <v>122</v>
      </c>
      <c r="K35" t="s">
        <v>122</v>
      </c>
      <c r="L35" t="s">
        <v>122</v>
      </c>
    </row>
    <row r="36" spans="1:16" x14ac:dyDescent="0.2">
      <c r="A36">
        <v>35</v>
      </c>
      <c r="B36">
        <v>3</v>
      </c>
      <c r="C36" t="s">
        <v>35</v>
      </c>
      <c r="D36" t="s">
        <v>33</v>
      </c>
      <c r="E36" t="s">
        <v>118</v>
      </c>
      <c r="F36" t="s">
        <v>44</v>
      </c>
      <c r="G36" t="s">
        <v>122</v>
      </c>
      <c r="H36" t="s">
        <v>153</v>
      </c>
      <c r="I36">
        <v>4</v>
      </c>
      <c r="J36" t="s">
        <v>122</v>
      </c>
      <c r="K36" t="s">
        <v>122</v>
      </c>
      <c r="L36" t="s">
        <v>122</v>
      </c>
    </row>
    <row r="37" spans="1:16" x14ac:dyDescent="0.2">
      <c r="A37">
        <v>36</v>
      </c>
      <c r="B37">
        <v>3</v>
      </c>
      <c r="C37" t="s">
        <v>35</v>
      </c>
      <c r="D37" t="s">
        <v>33</v>
      </c>
      <c r="E37" t="s">
        <v>118</v>
      </c>
      <c r="F37" t="s">
        <v>45</v>
      </c>
      <c r="G37" t="s">
        <v>122</v>
      </c>
      <c r="H37" t="s">
        <v>153</v>
      </c>
      <c r="I37">
        <v>4</v>
      </c>
      <c r="J37" t="s">
        <v>122</v>
      </c>
      <c r="K37" t="s">
        <v>122</v>
      </c>
      <c r="L37" t="s">
        <v>122</v>
      </c>
    </row>
    <row r="38" spans="1:16" x14ac:dyDescent="0.2">
      <c r="A38">
        <v>37</v>
      </c>
      <c r="B38">
        <v>3</v>
      </c>
      <c r="C38" t="s">
        <v>35</v>
      </c>
      <c r="D38" t="s">
        <v>33</v>
      </c>
      <c r="E38" t="s">
        <v>118</v>
      </c>
      <c r="F38" t="s">
        <v>46</v>
      </c>
      <c r="G38">
        <v>75</v>
      </c>
      <c r="H38" t="s">
        <v>150</v>
      </c>
      <c r="I38">
        <v>2.67</v>
      </c>
      <c r="J38" t="s">
        <v>113</v>
      </c>
      <c r="K38" t="s">
        <v>115</v>
      </c>
      <c r="L38" t="s">
        <v>115</v>
      </c>
      <c r="M38" t="s">
        <v>137</v>
      </c>
      <c r="N38">
        <v>14</v>
      </c>
      <c r="O38" t="s">
        <v>128</v>
      </c>
      <c r="P38" t="s">
        <v>128</v>
      </c>
    </row>
    <row r="39" spans="1:16" x14ac:dyDescent="0.2">
      <c r="A39">
        <v>38</v>
      </c>
      <c r="B39">
        <v>3</v>
      </c>
      <c r="C39" t="s">
        <v>35</v>
      </c>
      <c r="D39" t="s">
        <v>33</v>
      </c>
      <c r="E39" t="s">
        <v>118</v>
      </c>
      <c r="F39" t="s">
        <v>47</v>
      </c>
      <c r="G39" t="s">
        <v>122</v>
      </c>
      <c r="H39" t="s">
        <v>153</v>
      </c>
      <c r="I39">
        <v>4</v>
      </c>
      <c r="J39" t="s">
        <v>122</v>
      </c>
      <c r="K39" t="s">
        <v>122</v>
      </c>
      <c r="L39" t="s">
        <v>122</v>
      </c>
    </row>
    <row r="40" spans="1:16" x14ac:dyDescent="0.2">
      <c r="A40">
        <v>39</v>
      </c>
      <c r="B40">
        <v>3</v>
      </c>
      <c r="C40" t="s">
        <v>35</v>
      </c>
      <c r="D40" t="s">
        <v>33</v>
      </c>
      <c r="E40" t="s">
        <v>118</v>
      </c>
      <c r="F40" t="s">
        <v>48</v>
      </c>
      <c r="G40" t="s">
        <v>122</v>
      </c>
      <c r="H40" t="s">
        <v>153</v>
      </c>
      <c r="I40">
        <v>4</v>
      </c>
      <c r="J40" t="s">
        <v>122</v>
      </c>
      <c r="K40" t="s">
        <v>122</v>
      </c>
      <c r="L40" t="s">
        <v>122</v>
      </c>
    </row>
    <row r="41" spans="1:16" x14ac:dyDescent="0.2">
      <c r="A41">
        <v>40</v>
      </c>
      <c r="B41">
        <v>3</v>
      </c>
      <c r="C41" t="s">
        <v>35</v>
      </c>
      <c r="D41" t="s">
        <v>33</v>
      </c>
      <c r="E41" t="s">
        <v>118</v>
      </c>
      <c r="F41" t="s">
        <v>49</v>
      </c>
      <c r="G41">
        <v>100</v>
      </c>
      <c r="H41" t="s">
        <v>153</v>
      </c>
      <c r="I41">
        <v>4</v>
      </c>
      <c r="J41" t="s">
        <v>113</v>
      </c>
      <c r="K41" t="s">
        <v>113</v>
      </c>
      <c r="L41" t="s">
        <v>113</v>
      </c>
      <c r="M41" t="s">
        <v>137</v>
      </c>
    </row>
    <row r="42" spans="1:16" x14ac:dyDescent="0.2">
      <c r="A42">
        <v>41</v>
      </c>
      <c r="B42">
        <v>3</v>
      </c>
      <c r="C42" t="s">
        <v>35</v>
      </c>
      <c r="D42" t="s">
        <v>33</v>
      </c>
      <c r="E42" t="s">
        <v>118</v>
      </c>
      <c r="F42" t="s">
        <v>50</v>
      </c>
      <c r="G42">
        <v>100</v>
      </c>
      <c r="H42" t="s">
        <v>153</v>
      </c>
      <c r="I42">
        <v>4</v>
      </c>
      <c r="J42" t="s">
        <v>113</v>
      </c>
      <c r="K42" t="s">
        <v>113</v>
      </c>
      <c r="L42" t="s">
        <v>113</v>
      </c>
      <c r="M42" t="s">
        <v>137</v>
      </c>
    </row>
    <row r="43" spans="1:16" x14ac:dyDescent="0.2">
      <c r="A43">
        <v>42</v>
      </c>
      <c r="B43">
        <v>3</v>
      </c>
      <c r="C43" t="s">
        <v>35</v>
      </c>
      <c r="D43" t="s">
        <v>33</v>
      </c>
      <c r="E43" t="s">
        <v>118</v>
      </c>
      <c r="F43" t="s">
        <v>51</v>
      </c>
      <c r="G43" t="s">
        <v>122</v>
      </c>
      <c r="H43" t="s">
        <v>153</v>
      </c>
      <c r="I43">
        <v>4</v>
      </c>
      <c r="J43" t="s">
        <v>122</v>
      </c>
      <c r="K43" t="s">
        <v>122</v>
      </c>
      <c r="L43" t="s">
        <v>122</v>
      </c>
    </row>
    <row r="44" spans="1:16" x14ac:dyDescent="0.2">
      <c r="A44">
        <v>43</v>
      </c>
      <c r="B44">
        <v>3</v>
      </c>
      <c r="C44" t="s">
        <v>35</v>
      </c>
      <c r="D44" t="s">
        <v>33</v>
      </c>
      <c r="E44" t="s">
        <v>118</v>
      </c>
      <c r="F44" t="s">
        <v>52</v>
      </c>
      <c r="G44">
        <v>95</v>
      </c>
      <c r="H44" t="s">
        <v>153</v>
      </c>
      <c r="I44">
        <v>4</v>
      </c>
      <c r="J44" t="s">
        <v>115</v>
      </c>
      <c r="K44" t="s">
        <v>115</v>
      </c>
      <c r="L44" t="s">
        <v>115</v>
      </c>
      <c r="M44" t="s">
        <v>137</v>
      </c>
      <c r="N44">
        <v>15</v>
      </c>
      <c r="O44" t="s">
        <v>128</v>
      </c>
      <c r="P44" t="s">
        <v>128</v>
      </c>
    </row>
    <row r="45" spans="1:16" x14ac:dyDescent="0.2">
      <c r="A45">
        <v>44</v>
      </c>
      <c r="B45">
        <v>3</v>
      </c>
      <c r="C45" t="s">
        <v>35</v>
      </c>
      <c r="D45" t="s">
        <v>33</v>
      </c>
      <c r="E45" t="s">
        <v>118</v>
      </c>
      <c r="F45" t="s">
        <v>53</v>
      </c>
      <c r="G45">
        <v>95</v>
      </c>
      <c r="H45" t="s">
        <v>153</v>
      </c>
      <c r="I45">
        <v>4</v>
      </c>
      <c r="J45" t="s">
        <v>113</v>
      </c>
      <c r="K45" t="s">
        <v>113</v>
      </c>
      <c r="L45" t="s">
        <v>113</v>
      </c>
      <c r="M45" t="s">
        <v>137</v>
      </c>
    </row>
    <row r="46" spans="1:16" x14ac:dyDescent="0.2">
      <c r="A46">
        <v>45</v>
      </c>
      <c r="B46">
        <v>3</v>
      </c>
      <c r="C46" t="s">
        <v>35</v>
      </c>
      <c r="D46" t="s">
        <v>33</v>
      </c>
      <c r="E46" t="s">
        <v>118</v>
      </c>
      <c r="F46" t="s">
        <v>54</v>
      </c>
      <c r="G46">
        <v>95</v>
      </c>
      <c r="H46" t="s">
        <v>153</v>
      </c>
      <c r="I46">
        <v>4</v>
      </c>
      <c r="J46" t="s">
        <v>113</v>
      </c>
      <c r="K46" t="s">
        <v>113</v>
      </c>
      <c r="L46" t="s">
        <v>113</v>
      </c>
      <c r="M46" t="s">
        <v>137</v>
      </c>
    </row>
    <row r="47" spans="1:16" x14ac:dyDescent="0.2">
      <c r="A47">
        <v>46</v>
      </c>
      <c r="B47">
        <v>3</v>
      </c>
      <c r="C47" t="s">
        <v>35</v>
      </c>
      <c r="D47" t="s">
        <v>33</v>
      </c>
      <c r="E47" t="s">
        <v>118</v>
      </c>
      <c r="F47" t="s">
        <v>55</v>
      </c>
      <c r="G47">
        <v>95</v>
      </c>
      <c r="H47" t="s">
        <v>153</v>
      </c>
      <c r="I47">
        <v>4</v>
      </c>
      <c r="J47" t="s">
        <v>115</v>
      </c>
      <c r="K47" t="s">
        <v>115</v>
      </c>
      <c r="L47" t="s">
        <v>115</v>
      </c>
      <c r="M47" t="s">
        <v>137</v>
      </c>
      <c r="N47">
        <v>35</v>
      </c>
      <c r="O47" t="s">
        <v>128</v>
      </c>
      <c r="P47" t="s">
        <v>128</v>
      </c>
    </row>
    <row r="48" spans="1:16" x14ac:dyDescent="0.2">
      <c r="A48">
        <v>47</v>
      </c>
      <c r="B48">
        <v>3</v>
      </c>
      <c r="C48" t="s">
        <v>35</v>
      </c>
      <c r="D48" t="s">
        <v>33</v>
      </c>
      <c r="E48" t="s">
        <v>118</v>
      </c>
      <c r="F48" t="s">
        <v>56</v>
      </c>
      <c r="G48" t="s">
        <v>122</v>
      </c>
      <c r="H48" t="s">
        <v>153</v>
      </c>
      <c r="I48">
        <v>4</v>
      </c>
      <c r="J48" t="s">
        <v>122</v>
      </c>
      <c r="K48" t="s">
        <v>122</v>
      </c>
      <c r="L48" t="s">
        <v>122</v>
      </c>
    </row>
    <row r="49" spans="1:16" x14ac:dyDescent="0.2">
      <c r="A49">
        <v>48</v>
      </c>
      <c r="B49">
        <v>3</v>
      </c>
      <c r="C49" t="s">
        <v>35</v>
      </c>
      <c r="D49" t="s">
        <v>33</v>
      </c>
      <c r="E49" t="s">
        <v>118</v>
      </c>
      <c r="F49" t="s">
        <v>57</v>
      </c>
      <c r="H49" t="s">
        <v>154</v>
      </c>
      <c r="I49">
        <v>0</v>
      </c>
      <c r="J49" t="s">
        <v>113</v>
      </c>
      <c r="K49" t="s">
        <v>113</v>
      </c>
      <c r="L49" t="s">
        <v>113</v>
      </c>
      <c r="M49" t="s">
        <v>137</v>
      </c>
    </row>
    <row r="50" spans="1:16" x14ac:dyDescent="0.2">
      <c r="A50">
        <v>49</v>
      </c>
      <c r="B50">
        <v>3</v>
      </c>
      <c r="C50" t="s">
        <v>35</v>
      </c>
      <c r="D50" t="s">
        <v>33</v>
      </c>
      <c r="E50" t="s">
        <v>118</v>
      </c>
      <c r="F50" t="s">
        <v>58</v>
      </c>
      <c r="G50" t="s">
        <v>122</v>
      </c>
      <c r="H50" t="s">
        <v>153</v>
      </c>
      <c r="I50">
        <v>4</v>
      </c>
      <c r="J50" t="s">
        <v>122</v>
      </c>
      <c r="K50" t="s">
        <v>122</v>
      </c>
      <c r="L50" t="s">
        <v>122</v>
      </c>
      <c r="M50" t="s">
        <v>139</v>
      </c>
    </row>
    <row r="51" spans="1:16" x14ac:dyDescent="0.2">
      <c r="A51">
        <v>50</v>
      </c>
      <c r="B51">
        <v>3</v>
      </c>
      <c r="C51" t="s">
        <v>35</v>
      </c>
      <c r="D51" t="s">
        <v>33</v>
      </c>
      <c r="E51" t="s">
        <v>118</v>
      </c>
      <c r="F51" t="s">
        <v>59</v>
      </c>
      <c r="H51" t="s">
        <v>154</v>
      </c>
      <c r="I51">
        <v>0</v>
      </c>
      <c r="J51" t="s">
        <v>127</v>
      </c>
      <c r="K51" t="s">
        <v>127</v>
      </c>
      <c r="L51" t="s">
        <v>127</v>
      </c>
    </row>
    <row r="52" spans="1:16" x14ac:dyDescent="0.2">
      <c r="A52">
        <v>51</v>
      </c>
      <c r="B52">
        <v>3</v>
      </c>
      <c r="C52" t="s">
        <v>35</v>
      </c>
      <c r="D52" t="s">
        <v>33</v>
      </c>
      <c r="E52" t="s">
        <v>118</v>
      </c>
      <c r="F52" t="s">
        <v>60</v>
      </c>
      <c r="G52">
        <v>90</v>
      </c>
      <c r="H52" t="s">
        <v>152</v>
      </c>
      <c r="I52">
        <v>3.67</v>
      </c>
      <c r="J52" t="s">
        <v>115</v>
      </c>
      <c r="K52" t="s">
        <v>115</v>
      </c>
      <c r="L52" t="s">
        <v>115</v>
      </c>
      <c r="M52" t="s">
        <v>137</v>
      </c>
      <c r="N52">
        <v>21</v>
      </c>
      <c r="O52" t="s">
        <v>128</v>
      </c>
      <c r="P52" t="s">
        <v>128</v>
      </c>
    </row>
    <row r="53" spans="1:16" x14ac:dyDescent="0.2">
      <c r="A53">
        <v>52</v>
      </c>
      <c r="B53">
        <v>3</v>
      </c>
      <c r="C53" t="s">
        <v>35</v>
      </c>
      <c r="D53" t="s">
        <v>33</v>
      </c>
      <c r="E53" t="s">
        <v>118</v>
      </c>
      <c r="F53" t="s">
        <v>61</v>
      </c>
      <c r="G53">
        <v>90</v>
      </c>
      <c r="H53" t="s">
        <v>152</v>
      </c>
      <c r="I53">
        <v>3.67</v>
      </c>
      <c r="J53" t="s">
        <v>125</v>
      </c>
      <c r="K53" t="s">
        <v>115</v>
      </c>
      <c r="L53" t="s">
        <v>115</v>
      </c>
      <c r="M53" t="s">
        <v>137</v>
      </c>
      <c r="N53">
        <v>18</v>
      </c>
      <c r="O53" t="s">
        <v>134</v>
      </c>
      <c r="P53" t="s">
        <v>128</v>
      </c>
    </row>
    <row r="54" spans="1:16" x14ac:dyDescent="0.2">
      <c r="A54">
        <v>53</v>
      </c>
      <c r="B54">
        <v>3</v>
      </c>
      <c r="C54" t="s">
        <v>35</v>
      </c>
      <c r="D54" t="s">
        <v>21</v>
      </c>
      <c r="E54" t="s">
        <v>118</v>
      </c>
      <c r="F54" t="s">
        <v>62</v>
      </c>
      <c r="G54">
        <v>92</v>
      </c>
      <c r="H54" t="s">
        <v>152</v>
      </c>
      <c r="I54">
        <v>3.67</v>
      </c>
      <c r="J54" t="s">
        <v>113</v>
      </c>
      <c r="K54" t="s">
        <v>113</v>
      </c>
      <c r="L54" t="s">
        <v>113</v>
      </c>
      <c r="M54" t="s">
        <v>137</v>
      </c>
    </row>
    <row r="55" spans="1:16" x14ac:dyDescent="0.2">
      <c r="A55">
        <v>54</v>
      </c>
      <c r="B55">
        <v>3</v>
      </c>
      <c r="C55" t="s">
        <v>35</v>
      </c>
      <c r="D55" t="s">
        <v>21</v>
      </c>
      <c r="E55" t="s">
        <v>118</v>
      </c>
      <c r="F55" t="s">
        <v>63</v>
      </c>
      <c r="G55">
        <v>100</v>
      </c>
      <c r="H55" t="s">
        <v>153</v>
      </c>
      <c r="I55">
        <v>4</v>
      </c>
      <c r="J55" t="s">
        <v>113</v>
      </c>
      <c r="K55" t="s">
        <v>113</v>
      </c>
      <c r="L55" t="s">
        <v>113</v>
      </c>
      <c r="M55" t="s">
        <v>137</v>
      </c>
    </row>
    <row r="56" spans="1:16" x14ac:dyDescent="0.2">
      <c r="A56">
        <v>55</v>
      </c>
      <c r="B56">
        <v>3</v>
      </c>
      <c r="C56" t="s">
        <v>35</v>
      </c>
      <c r="D56" t="s">
        <v>21</v>
      </c>
      <c r="E56" t="s">
        <v>118</v>
      </c>
      <c r="F56" t="s">
        <v>64</v>
      </c>
      <c r="G56">
        <v>90</v>
      </c>
      <c r="H56" t="s">
        <v>152</v>
      </c>
      <c r="I56">
        <v>3.67</v>
      </c>
      <c r="J56" t="s">
        <v>113</v>
      </c>
      <c r="K56" t="s">
        <v>113</v>
      </c>
      <c r="L56" t="s">
        <v>113</v>
      </c>
      <c r="M56" t="s">
        <v>137</v>
      </c>
    </row>
    <row r="57" spans="1:16" x14ac:dyDescent="0.2">
      <c r="A57">
        <v>56</v>
      </c>
      <c r="B57">
        <v>3</v>
      </c>
      <c r="C57" t="s">
        <v>35</v>
      </c>
      <c r="D57" t="s">
        <v>21</v>
      </c>
      <c r="E57" t="s">
        <v>118</v>
      </c>
      <c r="F57" t="s">
        <v>65</v>
      </c>
      <c r="G57">
        <v>85</v>
      </c>
      <c r="H57" t="s">
        <v>156</v>
      </c>
      <c r="I57">
        <v>3.33</v>
      </c>
      <c r="J57" t="s">
        <v>113</v>
      </c>
      <c r="K57" t="s">
        <v>113</v>
      </c>
      <c r="L57" t="s">
        <v>113</v>
      </c>
      <c r="M57" t="s">
        <v>137</v>
      </c>
    </row>
    <row r="58" spans="1:16" x14ac:dyDescent="0.2">
      <c r="A58">
        <v>57</v>
      </c>
      <c r="B58">
        <v>3</v>
      </c>
      <c r="C58" t="s">
        <v>35</v>
      </c>
      <c r="D58" t="s">
        <v>71</v>
      </c>
      <c r="E58" t="s">
        <v>118</v>
      </c>
      <c r="F58" t="s">
        <v>66</v>
      </c>
      <c r="G58" t="s">
        <v>122</v>
      </c>
      <c r="H58" t="s">
        <v>153</v>
      </c>
      <c r="I58">
        <v>4</v>
      </c>
      <c r="J58" t="s">
        <v>122</v>
      </c>
      <c r="K58" t="s">
        <v>122</v>
      </c>
      <c r="L58" t="s">
        <v>122</v>
      </c>
      <c r="M58" t="s">
        <v>139</v>
      </c>
    </row>
    <row r="59" spans="1:16" x14ac:dyDescent="0.2">
      <c r="A59">
        <v>58</v>
      </c>
      <c r="B59">
        <v>3</v>
      </c>
      <c r="C59" t="s">
        <v>35</v>
      </c>
      <c r="D59" t="s">
        <v>71</v>
      </c>
      <c r="E59" t="s">
        <v>118</v>
      </c>
      <c r="F59" t="s">
        <v>67</v>
      </c>
      <c r="G59" t="s">
        <v>122</v>
      </c>
      <c r="H59" t="s">
        <v>153</v>
      </c>
      <c r="I59">
        <v>4</v>
      </c>
      <c r="J59" t="s">
        <v>122</v>
      </c>
      <c r="K59" t="s">
        <v>122</v>
      </c>
      <c r="L59" t="s">
        <v>122</v>
      </c>
    </row>
    <row r="60" spans="1:16" x14ac:dyDescent="0.2">
      <c r="A60">
        <v>59</v>
      </c>
      <c r="B60">
        <v>3</v>
      </c>
      <c r="C60" t="s">
        <v>35</v>
      </c>
      <c r="D60" t="s">
        <v>72</v>
      </c>
      <c r="E60" t="s">
        <v>118</v>
      </c>
      <c r="F60" t="s">
        <v>68</v>
      </c>
      <c r="G60">
        <v>50</v>
      </c>
      <c r="H60" t="s">
        <v>157</v>
      </c>
      <c r="I60">
        <v>1</v>
      </c>
      <c r="J60" t="s">
        <v>115</v>
      </c>
      <c r="K60" t="s">
        <v>115</v>
      </c>
      <c r="L60" t="s">
        <v>115</v>
      </c>
      <c r="M60" t="s">
        <v>137</v>
      </c>
      <c r="N60">
        <v>15</v>
      </c>
      <c r="O60" t="s">
        <v>141</v>
      </c>
      <c r="P60" t="s">
        <v>148</v>
      </c>
    </row>
    <row r="61" spans="1:16" x14ac:dyDescent="0.2">
      <c r="A61">
        <v>60</v>
      </c>
      <c r="B61">
        <v>3</v>
      </c>
      <c r="C61" t="s">
        <v>35</v>
      </c>
      <c r="D61" t="s">
        <v>72</v>
      </c>
      <c r="E61" t="s">
        <v>118</v>
      </c>
      <c r="F61" t="s">
        <v>69</v>
      </c>
      <c r="H61" t="s">
        <v>154</v>
      </c>
      <c r="I61">
        <v>0</v>
      </c>
      <c r="J61" t="s">
        <v>113</v>
      </c>
      <c r="K61" t="s">
        <v>115</v>
      </c>
      <c r="L61" t="s">
        <v>115</v>
      </c>
      <c r="M61" t="s">
        <v>137</v>
      </c>
    </row>
    <row r="62" spans="1:16" x14ac:dyDescent="0.2">
      <c r="A62">
        <v>61</v>
      </c>
      <c r="B62">
        <v>3</v>
      </c>
      <c r="C62" t="s">
        <v>35</v>
      </c>
      <c r="D62" t="s">
        <v>72</v>
      </c>
      <c r="E62" t="s">
        <v>118</v>
      </c>
      <c r="F62" t="s">
        <v>70</v>
      </c>
      <c r="H62" t="s">
        <v>154</v>
      </c>
      <c r="I62">
        <v>0</v>
      </c>
      <c r="J62" t="s">
        <v>122</v>
      </c>
      <c r="K62" t="s">
        <v>122</v>
      </c>
      <c r="L62" t="s">
        <v>122</v>
      </c>
    </row>
    <row r="63" spans="1:16" x14ac:dyDescent="0.2">
      <c r="A63">
        <v>62</v>
      </c>
      <c r="B63">
        <v>3</v>
      </c>
      <c r="C63" t="s">
        <v>73</v>
      </c>
      <c r="D63" t="s">
        <v>33</v>
      </c>
      <c r="E63" t="s">
        <v>119</v>
      </c>
      <c r="F63" t="s">
        <v>74</v>
      </c>
      <c r="G63" t="s">
        <v>122</v>
      </c>
      <c r="H63" t="s">
        <v>153</v>
      </c>
      <c r="I63">
        <v>4</v>
      </c>
      <c r="J63" t="s">
        <v>122</v>
      </c>
      <c r="K63" t="s">
        <v>122</v>
      </c>
      <c r="L63" t="s">
        <v>122</v>
      </c>
    </row>
    <row r="64" spans="1:16" x14ac:dyDescent="0.2">
      <c r="A64">
        <v>63</v>
      </c>
      <c r="B64">
        <v>3</v>
      </c>
      <c r="C64" t="s">
        <v>73</v>
      </c>
      <c r="D64" t="s">
        <v>33</v>
      </c>
      <c r="E64" t="s">
        <v>119</v>
      </c>
      <c r="F64" t="s">
        <v>75</v>
      </c>
      <c r="G64" t="s">
        <v>122</v>
      </c>
      <c r="H64" t="s">
        <v>153</v>
      </c>
      <c r="I64">
        <v>4</v>
      </c>
      <c r="J64" t="s">
        <v>122</v>
      </c>
      <c r="K64" t="s">
        <v>122</v>
      </c>
      <c r="L64" t="s">
        <v>122</v>
      </c>
    </row>
    <row r="65" spans="1:16" x14ac:dyDescent="0.2">
      <c r="A65">
        <v>64</v>
      </c>
      <c r="B65">
        <v>3</v>
      </c>
      <c r="C65" t="s">
        <v>73</v>
      </c>
      <c r="D65" t="s">
        <v>33</v>
      </c>
      <c r="E65" t="s">
        <v>119</v>
      </c>
      <c r="F65" t="s">
        <v>76</v>
      </c>
      <c r="H65" t="s">
        <v>154</v>
      </c>
      <c r="I65">
        <v>0</v>
      </c>
      <c r="J65" t="s">
        <v>127</v>
      </c>
      <c r="K65" t="s">
        <v>127</v>
      </c>
      <c r="L65" t="s">
        <v>127</v>
      </c>
    </row>
    <row r="66" spans="1:16" x14ac:dyDescent="0.2">
      <c r="A66">
        <v>65</v>
      </c>
      <c r="B66">
        <v>3</v>
      </c>
      <c r="C66" t="s">
        <v>73</v>
      </c>
      <c r="D66" t="s">
        <v>33</v>
      </c>
      <c r="E66" t="s">
        <v>119</v>
      </c>
      <c r="F66" t="s">
        <v>77</v>
      </c>
      <c r="H66" t="s">
        <v>154</v>
      </c>
      <c r="I66">
        <v>0</v>
      </c>
      <c r="J66" t="s">
        <v>127</v>
      </c>
      <c r="K66" t="s">
        <v>127</v>
      </c>
      <c r="L66" t="s">
        <v>127</v>
      </c>
    </row>
    <row r="67" spans="1:16" x14ac:dyDescent="0.2">
      <c r="A67">
        <v>66</v>
      </c>
      <c r="B67">
        <v>3</v>
      </c>
      <c r="C67" t="s">
        <v>73</v>
      </c>
      <c r="D67" t="s">
        <v>33</v>
      </c>
      <c r="E67" t="s">
        <v>119</v>
      </c>
      <c r="F67" t="s">
        <v>78</v>
      </c>
      <c r="G67">
        <v>75</v>
      </c>
      <c r="H67" t="s">
        <v>150</v>
      </c>
      <c r="I67">
        <v>2.67</v>
      </c>
      <c r="J67" t="s">
        <v>115</v>
      </c>
      <c r="K67" t="s">
        <v>115</v>
      </c>
      <c r="L67" t="s">
        <v>115</v>
      </c>
      <c r="M67" t="s">
        <v>137</v>
      </c>
      <c r="N67">
        <v>13</v>
      </c>
      <c r="O67" t="s">
        <v>134</v>
      </c>
      <c r="P67" t="s">
        <v>128</v>
      </c>
    </row>
    <row r="68" spans="1:16" x14ac:dyDescent="0.2">
      <c r="A68">
        <v>67</v>
      </c>
      <c r="B68">
        <v>3</v>
      </c>
      <c r="C68" t="s">
        <v>73</v>
      </c>
      <c r="D68" t="s">
        <v>33</v>
      </c>
      <c r="E68" t="s">
        <v>119</v>
      </c>
      <c r="F68" t="s">
        <v>79</v>
      </c>
      <c r="G68" t="s">
        <v>122</v>
      </c>
      <c r="H68" t="s">
        <v>153</v>
      </c>
      <c r="I68">
        <v>4</v>
      </c>
      <c r="J68" t="s">
        <v>122</v>
      </c>
      <c r="K68" t="s">
        <v>122</v>
      </c>
      <c r="L68" t="s">
        <v>122</v>
      </c>
    </row>
    <row r="69" spans="1:16" x14ac:dyDescent="0.2">
      <c r="A69">
        <v>68</v>
      </c>
      <c r="B69">
        <v>3</v>
      </c>
      <c r="C69" t="s">
        <v>73</v>
      </c>
      <c r="D69" t="s">
        <v>33</v>
      </c>
      <c r="E69" t="s">
        <v>119</v>
      </c>
      <c r="F69" t="s">
        <v>80</v>
      </c>
      <c r="G69" t="s">
        <v>122</v>
      </c>
      <c r="H69" t="s">
        <v>153</v>
      </c>
      <c r="I69">
        <v>4</v>
      </c>
      <c r="J69" t="s">
        <v>122</v>
      </c>
      <c r="K69" t="s">
        <v>122</v>
      </c>
      <c r="L69" t="s">
        <v>122</v>
      </c>
    </row>
    <row r="70" spans="1:16" x14ac:dyDescent="0.2">
      <c r="A70">
        <v>69</v>
      </c>
      <c r="B70">
        <v>3</v>
      </c>
      <c r="C70" t="s">
        <v>73</v>
      </c>
      <c r="D70" t="s">
        <v>33</v>
      </c>
      <c r="E70" t="s">
        <v>119</v>
      </c>
      <c r="F70" t="s">
        <v>81</v>
      </c>
      <c r="H70" t="s">
        <v>154</v>
      </c>
      <c r="I70">
        <v>0</v>
      </c>
      <c r="J70" t="s">
        <v>127</v>
      </c>
      <c r="K70" t="s">
        <v>127</v>
      </c>
      <c r="L70" t="s">
        <v>127</v>
      </c>
    </row>
    <row r="71" spans="1:16" x14ac:dyDescent="0.2">
      <c r="A71">
        <v>70</v>
      </c>
      <c r="B71">
        <v>3</v>
      </c>
      <c r="C71" t="s">
        <v>73</v>
      </c>
      <c r="D71" t="s">
        <v>33</v>
      </c>
      <c r="E71" t="s">
        <v>119</v>
      </c>
      <c r="F71" t="s">
        <v>82</v>
      </c>
      <c r="G71">
        <v>75</v>
      </c>
      <c r="H71" t="s">
        <v>150</v>
      </c>
      <c r="I71">
        <v>2.67</v>
      </c>
      <c r="J71" t="s">
        <v>115</v>
      </c>
      <c r="K71" t="s">
        <v>115</v>
      </c>
      <c r="L71" t="s">
        <v>115</v>
      </c>
      <c r="M71" t="s">
        <v>137</v>
      </c>
      <c r="N71">
        <v>21</v>
      </c>
      <c r="O71" t="s">
        <v>134</v>
      </c>
      <c r="P71" t="s">
        <v>128</v>
      </c>
    </row>
    <row r="72" spans="1:16" x14ac:dyDescent="0.2">
      <c r="A72">
        <v>71</v>
      </c>
      <c r="B72">
        <v>3</v>
      </c>
      <c r="C72" t="s">
        <v>73</v>
      </c>
      <c r="D72" t="s">
        <v>33</v>
      </c>
      <c r="E72" t="s">
        <v>119</v>
      </c>
      <c r="F72" t="s">
        <v>83</v>
      </c>
      <c r="G72">
        <v>70</v>
      </c>
      <c r="H72" t="s">
        <v>149</v>
      </c>
      <c r="I72">
        <v>2.33</v>
      </c>
      <c r="J72" t="s">
        <v>115</v>
      </c>
      <c r="K72" t="s">
        <v>115</v>
      </c>
      <c r="L72" t="s">
        <v>115</v>
      </c>
      <c r="M72" t="s">
        <v>137</v>
      </c>
      <c r="N72">
        <v>11</v>
      </c>
      <c r="O72" t="s">
        <v>134</v>
      </c>
      <c r="P72" t="s">
        <v>128</v>
      </c>
    </row>
    <row r="73" spans="1:16" x14ac:dyDescent="0.2">
      <c r="A73">
        <v>72</v>
      </c>
      <c r="B73">
        <v>3</v>
      </c>
      <c r="C73" t="s">
        <v>73</v>
      </c>
      <c r="D73" t="s">
        <v>33</v>
      </c>
      <c r="E73" t="s">
        <v>119</v>
      </c>
      <c r="F73" t="s">
        <v>84</v>
      </c>
      <c r="G73">
        <v>30</v>
      </c>
      <c r="H73" t="s">
        <v>155</v>
      </c>
      <c r="I73">
        <v>0.5</v>
      </c>
      <c r="J73" t="s">
        <v>115</v>
      </c>
      <c r="K73" t="s">
        <v>115</v>
      </c>
      <c r="L73" t="s">
        <v>115</v>
      </c>
      <c r="M73" t="s">
        <v>139</v>
      </c>
      <c r="N73">
        <v>4</v>
      </c>
      <c r="O73" t="s">
        <v>141</v>
      </c>
      <c r="P73" t="s">
        <v>148</v>
      </c>
    </row>
    <row r="74" spans="1:16" x14ac:dyDescent="0.2">
      <c r="A74">
        <v>73</v>
      </c>
      <c r="B74">
        <v>3</v>
      </c>
      <c r="C74" t="s">
        <v>73</v>
      </c>
      <c r="D74" t="s">
        <v>33</v>
      </c>
      <c r="E74" t="s">
        <v>119</v>
      </c>
      <c r="F74" t="s">
        <v>85</v>
      </c>
      <c r="G74">
        <v>70</v>
      </c>
      <c r="H74" t="s">
        <v>149</v>
      </c>
      <c r="I74">
        <v>2.33</v>
      </c>
      <c r="J74" t="s">
        <v>115</v>
      </c>
      <c r="K74" t="s">
        <v>115</v>
      </c>
      <c r="L74" t="s">
        <v>115</v>
      </c>
      <c r="M74" t="s">
        <v>137</v>
      </c>
      <c r="N74">
        <v>10</v>
      </c>
      <c r="O74" t="s">
        <v>135</v>
      </c>
      <c r="P74" t="s">
        <v>128</v>
      </c>
    </row>
    <row r="75" spans="1:16" x14ac:dyDescent="0.2">
      <c r="A75">
        <v>74</v>
      </c>
      <c r="B75">
        <v>3</v>
      </c>
      <c r="C75" t="s">
        <v>96</v>
      </c>
      <c r="D75" t="s">
        <v>71</v>
      </c>
      <c r="E75" t="s">
        <v>120</v>
      </c>
      <c r="F75" t="s">
        <v>86</v>
      </c>
      <c r="G75">
        <v>80</v>
      </c>
      <c r="H75" t="s">
        <v>151</v>
      </c>
      <c r="I75">
        <v>3</v>
      </c>
      <c r="J75" t="s">
        <v>124</v>
      </c>
      <c r="K75" t="s">
        <v>124</v>
      </c>
      <c r="L75" t="s">
        <v>124</v>
      </c>
      <c r="M75" t="s">
        <v>137</v>
      </c>
    </row>
    <row r="76" spans="1:16" x14ac:dyDescent="0.2">
      <c r="A76">
        <v>75</v>
      </c>
      <c r="B76">
        <v>3</v>
      </c>
      <c r="C76" t="s">
        <v>96</v>
      </c>
      <c r="D76" t="s">
        <v>71</v>
      </c>
      <c r="E76" t="s">
        <v>120</v>
      </c>
      <c r="F76" t="s">
        <v>87</v>
      </c>
      <c r="G76">
        <v>85</v>
      </c>
      <c r="H76" t="s">
        <v>156</v>
      </c>
      <c r="I76">
        <v>3.33</v>
      </c>
      <c r="J76" t="s">
        <v>115</v>
      </c>
      <c r="K76" t="s">
        <v>115</v>
      </c>
      <c r="L76" t="s">
        <v>115</v>
      </c>
      <c r="M76" t="s">
        <v>137</v>
      </c>
      <c r="N76">
        <v>11</v>
      </c>
      <c r="O76" t="s">
        <v>135</v>
      </c>
      <c r="P76" t="s">
        <v>128</v>
      </c>
    </row>
    <row r="77" spans="1:16" x14ac:dyDescent="0.2">
      <c r="A77">
        <v>76</v>
      </c>
      <c r="B77">
        <v>3</v>
      </c>
      <c r="C77" t="s">
        <v>96</v>
      </c>
      <c r="D77" t="s">
        <v>71</v>
      </c>
      <c r="E77" t="s">
        <v>120</v>
      </c>
      <c r="F77" t="s">
        <v>88</v>
      </c>
      <c r="G77">
        <v>90</v>
      </c>
      <c r="H77" t="s">
        <v>152</v>
      </c>
      <c r="I77">
        <v>3.67</v>
      </c>
      <c r="J77" t="s">
        <v>113</v>
      </c>
      <c r="K77" t="s">
        <v>113</v>
      </c>
      <c r="L77" t="s">
        <v>113</v>
      </c>
      <c r="M77" t="s">
        <v>137</v>
      </c>
    </row>
    <row r="78" spans="1:16" x14ac:dyDescent="0.2">
      <c r="A78">
        <v>77</v>
      </c>
      <c r="B78">
        <v>3</v>
      </c>
      <c r="C78" t="s">
        <v>96</v>
      </c>
      <c r="D78" t="s">
        <v>71</v>
      </c>
      <c r="E78" t="s">
        <v>120</v>
      </c>
      <c r="F78" t="s">
        <v>89</v>
      </c>
      <c r="G78" t="s">
        <v>122</v>
      </c>
      <c r="H78" t="s">
        <v>153</v>
      </c>
      <c r="I78">
        <v>4</v>
      </c>
      <c r="J78" t="s">
        <v>122</v>
      </c>
      <c r="K78" t="s">
        <v>122</v>
      </c>
      <c r="L78" t="s">
        <v>122</v>
      </c>
    </row>
    <row r="79" spans="1:16" x14ac:dyDescent="0.2">
      <c r="A79">
        <v>78</v>
      </c>
      <c r="B79">
        <v>3</v>
      </c>
      <c r="C79" t="s">
        <v>96</v>
      </c>
      <c r="D79" t="s">
        <v>71</v>
      </c>
      <c r="E79" t="s">
        <v>120</v>
      </c>
      <c r="F79" t="s">
        <v>90</v>
      </c>
      <c r="G79" t="s">
        <v>122</v>
      </c>
      <c r="H79" t="s">
        <v>153</v>
      </c>
      <c r="I79">
        <v>4</v>
      </c>
      <c r="J79" t="s">
        <v>122</v>
      </c>
      <c r="K79" t="s">
        <v>122</v>
      </c>
      <c r="L79" t="s">
        <v>122</v>
      </c>
    </row>
    <row r="80" spans="1:16" x14ac:dyDescent="0.2">
      <c r="A80">
        <v>80</v>
      </c>
      <c r="B80">
        <v>3</v>
      </c>
      <c r="C80" t="s">
        <v>96</v>
      </c>
      <c r="D80" t="s">
        <v>72</v>
      </c>
      <c r="E80" t="s">
        <v>120</v>
      </c>
      <c r="F80" t="s">
        <v>91</v>
      </c>
      <c r="G80">
        <v>70</v>
      </c>
      <c r="H80" t="s">
        <v>149</v>
      </c>
      <c r="I80">
        <v>2.33</v>
      </c>
      <c r="J80" t="s">
        <v>113</v>
      </c>
      <c r="K80" t="s">
        <v>113</v>
      </c>
      <c r="L80" t="s">
        <v>113</v>
      </c>
      <c r="M80" t="s">
        <v>137</v>
      </c>
    </row>
    <row r="81" spans="1:16" x14ac:dyDescent="0.2">
      <c r="A81">
        <v>81</v>
      </c>
      <c r="B81">
        <v>3</v>
      </c>
      <c r="C81" t="s">
        <v>96</v>
      </c>
      <c r="D81" t="s">
        <v>72</v>
      </c>
      <c r="E81" t="s">
        <v>120</v>
      </c>
      <c r="F81" t="s">
        <v>92</v>
      </c>
      <c r="G81" t="s">
        <v>122</v>
      </c>
      <c r="H81" t="s">
        <v>153</v>
      </c>
      <c r="I81">
        <v>4</v>
      </c>
      <c r="J81" t="s">
        <v>122</v>
      </c>
      <c r="K81" t="s">
        <v>122</v>
      </c>
      <c r="L81" t="s">
        <v>122</v>
      </c>
    </row>
    <row r="82" spans="1:16" x14ac:dyDescent="0.2">
      <c r="A82">
        <v>82</v>
      </c>
      <c r="B82">
        <v>3</v>
      </c>
      <c r="C82" t="s">
        <v>96</v>
      </c>
      <c r="D82" t="s">
        <v>72</v>
      </c>
      <c r="E82" t="s">
        <v>120</v>
      </c>
      <c r="F82" t="s">
        <v>93</v>
      </c>
      <c r="G82" t="s">
        <v>122</v>
      </c>
      <c r="H82" t="s">
        <v>153</v>
      </c>
      <c r="I82">
        <v>4</v>
      </c>
      <c r="J82" t="s">
        <v>122</v>
      </c>
      <c r="K82" t="s">
        <v>122</v>
      </c>
      <c r="L82" t="s">
        <v>122</v>
      </c>
    </row>
    <row r="83" spans="1:16" x14ac:dyDescent="0.2">
      <c r="A83">
        <v>83</v>
      </c>
      <c r="B83">
        <v>3</v>
      </c>
      <c r="C83" t="s">
        <v>96</v>
      </c>
      <c r="D83" t="s">
        <v>72</v>
      </c>
      <c r="E83" t="s">
        <v>120</v>
      </c>
      <c r="F83" t="s">
        <v>94</v>
      </c>
      <c r="G83">
        <v>50</v>
      </c>
      <c r="H83" t="s">
        <v>157</v>
      </c>
      <c r="I83">
        <v>1</v>
      </c>
      <c r="J83" t="s">
        <v>115</v>
      </c>
      <c r="K83" t="s">
        <v>123</v>
      </c>
      <c r="L83" t="s">
        <v>115</v>
      </c>
      <c r="M83" t="s">
        <v>139</v>
      </c>
      <c r="N83">
        <v>8</v>
      </c>
      <c r="O83" t="s">
        <v>144</v>
      </c>
      <c r="P83" t="s">
        <v>148</v>
      </c>
    </row>
    <row r="84" spans="1:16" x14ac:dyDescent="0.2">
      <c r="A84">
        <v>84</v>
      </c>
      <c r="B84">
        <v>3</v>
      </c>
      <c r="C84" t="s">
        <v>96</v>
      </c>
      <c r="D84" t="s">
        <v>72</v>
      </c>
      <c r="E84" t="s">
        <v>120</v>
      </c>
      <c r="F84" t="s">
        <v>95</v>
      </c>
      <c r="G84">
        <v>70</v>
      </c>
      <c r="H84" t="s">
        <v>149</v>
      </c>
      <c r="I84">
        <v>2.33</v>
      </c>
      <c r="J84" t="s">
        <v>115</v>
      </c>
      <c r="K84" t="s">
        <v>115</v>
      </c>
      <c r="L84" t="s">
        <v>115</v>
      </c>
      <c r="M84" t="s">
        <v>139</v>
      </c>
      <c r="N84">
        <v>18</v>
      </c>
      <c r="O84" t="s">
        <v>145</v>
      </c>
      <c r="P84" t="s">
        <v>128</v>
      </c>
    </row>
    <row r="85" spans="1:16" x14ac:dyDescent="0.2">
      <c r="A85">
        <v>85</v>
      </c>
      <c r="B85">
        <v>1</v>
      </c>
      <c r="C85" t="s">
        <v>100</v>
      </c>
      <c r="D85" t="s">
        <v>101</v>
      </c>
      <c r="E85" t="s">
        <v>100</v>
      </c>
      <c r="F85" t="s">
        <v>102</v>
      </c>
      <c r="G85">
        <v>90</v>
      </c>
      <c r="H85" t="s">
        <v>152</v>
      </c>
      <c r="I85">
        <v>3.67</v>
      </c>
      <c r="J85" t="s">
        <v>113</v>
      </c>
      <c r="K85" t="s">
        <v>113</v>
      </c>
      <c r="L85" t="s">
        <v>113</v>
      </c>
      <c r="M85" t="s">
        <v>137</v>
      </c>
    </row>
    <row r="86" spans="1:16" x14ac:dyDescent="0.2">
      <c r="A86">
        <v>86</v>
      </c>
      <c r="B86">
        <v>1</v>
      </c>
      <c r="C86" t="s">
        <v>100</v>
      </c>
      <c r="D86" t="s">
        <v>101</v>
      </c>
      <c r="E86" t="s">
        <v>100</v>
      </c>
      <c r="F86" t="s">
        <v>103</v>
      </c>
      <c r="G86">
        <v>95</v>
      </c>
      <c r="H86" t="s">
        <v>153</v>
      </c>
      <c r="I86">
        <v>4</v>
      </c>
      <c r="J86" t="s">
        <v>113</v>
      </c>
      <c r="K86" t="s">
        <v>113</v>
      </c>
      <c r="L86" t="s">
        <v>113</v>
      </c>
      <c r="M86" t="s">
        <v>137</v>
      </c>
    </row>
    <row r="87" spans="1:16" x14ac:dyDescent="0.2">
      <c r="A87">
        <v>87</v>
      </c>
      <c r="B87">
        <v>1</v>
      </c>
      <c r="C87" t="s">
        <v>100</v>
      </c>
      <c r="D87" t="s">
        <v>101</v>
      </c>
      <c r="E87" t="s">
        <v>100</v>
      </c>
      <c r="F87" t="s">
        <v>104</v>
      </c>
      <c r="G87">
        <v>75</v>
      </c>
      <c r="H87" t="s">
        <v>150</v>
      </c>
      <c r="I87">
        <v>2.67</v>
      </c>
      <c r="J87" t="s">
        <v>113</v>
      </c>
      <c r="K87" t="s">
        <v>113</v>
      </c>
      <c r="L87" t="s">
        <v>113</v>
      </c>
      <c r="M87" t="s">
        <v>137</v>
      </c>
    </row>
    <row r="88" spans="1:16" x14ac:dyDescent="0.2">
      <c r="A88">
        <v>88</v>
      </c>
      <c r="B88">
        <v>1</v>
      </c>
      <c r="C88" t="s">
        <v>100</v>
      </c>
      <c r="D88" t="s">
        <v>101</v>
      </c>
      <c r="E88" t="s">
        <v>100</v>
      </c>
      <c r="F88" t="s">
        <v>105</v>
      </c>
      <c r="G88">
        <v>95</v>
      </c>
      <c r="H88" t="s">
        <v>153</v>
      </c>
      <c r="I88">
        <v>4</v>
      </c>
      <c r="J88" t="s">
        <v>113</v>
      </c>
      <c r="K88" t="s">
        <v>113</v>
      </c>
      <c r="L88" t="s">
        <v>113</v>
      </c>
      <c r="M88" t="s">
        <v>137</v>
      </c>
    </row>
    <row r="89" spans="1:16" x14ac:dyDescent="0.2">
      <c r="A89">
        <v>89</v>
      </c>
      <c r="B89">
        <v>1</v>
      </c>
      <c r="C89" t="s">
        <v>100</v>
      </c>
      <c r="D89" t="s">
        <v>101</v>
      </c>
      <c r="E89" t="s">
        <v>100</v>
      </c>
      <c r="F89" t="s">
        <v>106</v>
      </c>
      <c r="G89">
        <v>75</v>
      </c>
      <c r="H89" t="s">
        <v>150</v>
      </c>
      <c r="I89">
        <v>2.67</v>
      </c>
      <c r="J89" t="s">
        <v>113</v>
      </c>
      <c r="K89" t="s">
        <v>113</v>
      </c>
      <c r="L89" t="s">
        <v>113</v>
      </c>
      <c r="M89" t="s">
        <v>137</v>
      </c>
    </row>
    <row r="90" spans="1:16" x14ac:dyDescent="0.2">
      <c r="A90">
        <v>90</v>
      </c>
      <c r="B90">
        <v>1</v>
      </c>
      <c r="C90" t="s">
        <v>100</v>
      </c>
      <c r="D90" t="s">
        <v>101</v>
      </c>
      <c r="E90" t="s">
        <v>100</v>
      </c>
      <c r="F90" t="s">
        <v>107</v>
      </c>
      <c r="G90">
        <v>75</v>
      </c>
      <c r="H90" t="s">
        <v>150</v>
      </c>
      <c r="I90">
        <v>2.67</v>
      </c>
      <c r="J90" t="s">
        <v>113</v>
      </c>
      <c r="K90" t="s">
        <v>113</v>
      </c>
      <c r="L90" t="s">
        <v>113</v>
      </c>
      <c r="M90" t="s">
        <v>137</v>
      </c>
    </row>
    <row r="91" spans="1:16" x14ac:dyDescent="0.2">
      <c r="A91">
        <v>91</v>
      </c>
      <c r="B91">
        <v>1</v>
      </c>
      <c r="C91" t="s">
        <v>100</v>
      </c>
      <c r="D91" t="s">
        <v>101</v>
      </c>
      <c r="E91" t="s">
        <v>100</v>
      </c>
      <c r="F91" t="s">
        <v>108</v>
      </c>
      <c r="G91">
        <v>90</v>
      </c>
      <c r="H91" t="s">
        <v>152</v>
      </c>
      <c r="I91">
        <v>3.67</v>
      </c>
      <c r="J91" t="s">
        <v>113</v>
      </c>
      <c r="K91" t="s">
        <v>113</v>
      </c>
      <c r="L91" t="s">
        <v>113</v>
      </c>
      <c r="M91" t="s">
        <v>137</v>
      </c>
    </row>
    <row r="92" spans="1:16" x14ac:dyDescent="0.2">
      <c r="A92">
        <v>92</v>
      </c>
      <c r="B92">
        <v>1</v>
      </c>
      <c r="C92" t="s">
        <v>100</v>
      </c>
      <c r="D92" t="s">
        <v>101</v>
      </c>
      <c r="E92" t="s">
        <v>100</v>
      </c>
      <c r="F92" t="s">
        <v>109</v>
      </c>
      <c r="G92">
        <v>92</v>
      </c>
      <c r="H92" t="s">
        <v>152</v>
      </c>
      <c r="I92">
        <v>3.67</v>
      </c>
      <c r="J92" t="s">
        <v>113</v>
      </c>
      <c r="K92" t="s">
        <v>113</v>
      </c>
      <c r="L92" t="s">
        <v>113</v>
      </c>
      <c r="M92" t="s">
        <v>137</v>
      </c>
    </row>
    <row r="93" spans="1:16" x14ac:dyDescent="0.2">
      <c r="A93">
        <v>93</v>
      </c>
    </row>
    <row r="94" spans="1:16" x14ac:dyDescent="0.2">
      <c r="A94">
        <v>94</v>
      </c>
    </row>
    <row r="95" spans="1:16" x14ac:dyDescent="0.2">
      <c r="A95">
        <v>95</v>
      </c>
    </row>
    <row r="96" spans="1:16" x14ac:dyDescent="0.2">
      <c r="A96">
        <v>96</v>
      </c>
    </row>
    <row r="97" spans="1:1" x14ac:dyDescent="0.2">
      <c r="A97">
        <v>97</v>
      </c>
    </row>
    <row r="98" spans="1:1" x14ac:dyDescent="0.2">
      <c r="A98">
        <v>98</v>
      </c>
    </row>
    <row r="99" spans="1:1" x14ac:dyDescent="0.2">
      <c r="A99">
        <v>99</v>
      </c>
    </row>
    <row r="100" spans="1:1" x14ac:dyDescent="0.2">
      <c r="A100">
        <v>100</v>
      </c>
    </row>
    <row r="101" spans="1:1" x14ac:dyDescent="0.2">
      <c r="A101">
        <v>101</v>
      </c>
    </row>
    <row r="102" spans="1:1" x14ac:dyDescent="0.2">
      <c r="A102">
        <v>102</v>
      </c>
    </row>
    <row r="103" spans="1:1" x14ac:dyDescent="0.2">
      <c r="A103">
        <v>103</v>
      </c>
    </row>
    <row r="104" spans="1:1" x14ac:dyDescent="0.2">
      <c r="A104">
        <v>104</v>
      </c>
    </row>
    <row r="105" spans="1:1" x14ac:dyDescent="0.2">
      <c r="A105">
        <v>105</v>
      </c>
    </row>
    <row r="106" spans="1:1" x14ac:dyDescent="0.2">
      <c r="A106">
        <v>106</v>
      </c>
    </row>
    <row r="107" spans="1:1" x14ac:dyDescent="0.2">
      <c r="A107">
        <v>107</v>
      </c>
    </row>
    <row r="108" spans="1:1" x14ac:dyDescent="0.2">
      <c r="A108">
        <v>108</v>
      </c>
    </row>
    <row r="109" spans="1:1" x14ac:dyDescent="0.2">
      <c r="A109">
        <v>109</v>
      </c>
    </row>
    <row r="110" spans="1:1" x14ac:dyDescent="0.2">
      <c r="A110">
        <v>110</v>
      </c>
    </row>
    <row r="111" spans="1:1" x14ac:dyDescent="0.2">
      <c r="A111">
        <v>111</v>
      </c>
    </row>
    <row r="112" spans="1:1" x14ac:dyDescent="0.2">
      <c r="A112">
        <v>112</v>
      </c>
    </row>
    <row r="113" spans="1:1" x14ac:dyDescent="0.2">
      <c r="A113">
        <v>113</v>
      </c>
    </row>
    <row r="114" spans="1:1" x14ac:dyDescent="0.2">
      <c r="A114">
        <v>114</v>
      </c>
    </row>
    <row r="115" spans="1:1" x14ac:dyDescent="0.2">
      <c r="A115">
        <v>115</v>
      </c>
    </row>
    <row r="116" spans="1:1" x14ac:dyDescent="0.2">
      <c r="A116">
        <v>116</v>
      </c>
    </row>
    <row r="117" spans="1:1" x14ac:dyDescent="0.2">
      <c r="A117">
        <v>117</v>
      </c>
    </row>
    <row r="118" spans="1:1" x14ac:dyDescent="0.2">
      <c r="A118">
        <v>118</v>
      </c>
    </row>
    <row r="119" spans="1:1" x14ac:dyDescent="0.2">
      <c r="A119">
        <v>119</v>
      </c>
    </row>
    <row r="120" spans="1:1" x14ac:dyDescent="0.2">
      <c r="A120">
        <v>120</v>
      </c>
    </row>
    <row r="121" spans="1:1" x14ac:dyDescent="0.2">
      <c r="A121">
        <v>121</v>
      </c>
    </row>
    <row r="122" spans="1:1" x14ac:dyDescent="0.2">
      <c r="A122">
        <v>122</v>
      </c>
    </row>
    <row r="123" spans="1:1" x14ac:dyDescent="0.2">
      <c r="A123">
        <v>123</v>
      </c>
    </row>
    <row r="124" spans="1:1" x14ac:dyDescent="0.2">
      <c r="A124">
        <v>124</v>
      </c>
    </row>
    <row r="125" spans="1:1" x14ac:dyDescent="0.2">
      <c r="A125">
        <v>125</v>
      </c>
    </row>
    <row r="126" spans="1:1" x14ac:dyDescent="0.2">
      <c r="A126">
        <v>126</v>
      </c>
    </row>
    <row r="127" spans="1:1" x14ac:dyDescent="0.2">
      <c r="A127">
        <v>127</v>
      </c>
    </row>
    <row r="128" spans="1:1" x14ac:dyDescent="0.2">
      <c r="A128">
        <v>128</v>
      </c>
    </row>
    <row r="129" spans="1:1" x14ac:dyDescent="0.2">
      <c r="A129">
        <v>129</v>
      </c>
    </row>
    <row r="130" spans="1:1" x14ac:dyDescent="0.2">
      <c r="A130">
        <v>130</v>
      </c>
    </row>
    <row r="131" spans="1:1" x14ac:dyDescent="0.2">
      <c r="A131">
        <v>131</v>
      </c>
    </row>
    <row r="132" spans="1:1" x14ac:dyDescent="0.2">
      <c r="A132">
        <v>132</v>
      </c>
    </row>
    <row r="133" spans="1:1" x14ac:dyDescent="0.2">
      <c r="A133">
        <v>133</v>
      </c>
    </row>
    <row r="134" spans="1:1" x14ac:dyDescent="0.2">
      <c r="A134">
        <v>134</v>
      </c>
    </row>
    <row r="135" spans="1:1" x14ac:dyDescent="0.2">
      <c r="A135">
        <v>135</v>
      </c>
    </row>
    <row r="136" spans="1:1" x14ac:dyDescent="0.2">
      <c r="A136">
        <v>136</v>
      </c>
    </row>
    <row r="137" spans="1:1" x14ac:dyDescent="0.2">
      <c r="A137">
        <v>137</v>
      </c>
    </row>
    <row r="138" spans="1:1" x14ac:dyDescent="0.2">
      <c r="A138">
        <v>138</v>
      </c>
    </row>
    <row r="139" spans="1:1" x14ac:dyDescent="0.2">
      <c r="A139">
        <v>139</v>
      </c>
    </row>
    <row r="140" spans="1:1" x14ac:dyDescent="0.2">
      <c r="A140">
        <v>140</v>
      </c>
    </row>
    <row r="141" spans="1:1" x14ac:dyDescent="0.2">
      <c r="A141">
        <v>141</v>
      </c>
    </row>
    <row r="142" spans="1:1" x14ac:dyDescent="0.2">
      <c r="A142">
        <v>142</v>
      </c>
    </row>
    <row r="143" spans="1:1" x14ac:dyDescent="0.2">
      <c r="A143">
        <v>143</v>
      </c>
    </row>
    <row r="144" spans="1:1" x14ac:dyDescent="0.2">
      <c r="A144">
        <v>144</v>
      </c>
    </row>
    <row r="145" spans="1:1" x14ac:dyDescent="0.2">
      <c r="A145">
        <v>145</v>
      </c>
    </row>
    <row r="146" spans="1:1" x14ac:dyDescent="0.2">
      <c r="A146">
        <v>146</v>
      </c>
    </row>
    <row r="147" spans="1:1" x14ac:dyDescent="0.2">
      <c r="A147">
        <v>147</v>
      </c>
    </row>
    <row r="148" spans="1:1" x14ac:dyDescent="0.2">
      <c r="A148">
        <v>148</v>
      </c>
    </row>
    <row r="149" spans="1:1" x14ac:dyDescent="0.2">
      <c r="A149">
        <v>149</v>
      </c>
    </row>
    <row r="150" spans="1:1" x14ac:dyDescent="0.2">
      <c r="A150">
        <v>150</v>
      </c>
    </row>
    <row r="151" spans="1:1" x14ac:dyDescent="0.2">
      <c r="A151">
        <v>151</v>
      </c>
    </row>
    <row r="152" spans="1:1" x14ac:dyDescent="0.2">
      <c r="A152">
        <v>152</v>
      </c>
    </row>
    <row r="153" spans="1:1" x14ac:dyDescent="0.2">
      <c r="A153">
        <v>153</v>
      </c>
    </row>
    <row r="154" spans="1:1" x14ac:dyDescent="0.2">
      <c r="A154">
        <v>154</v>
      </c>
    </row>
    <row r="155" spans="1:1" x14ac:dyDescent="0.2">
      <c r="A155">
        <v>155</v>
      </c>
    </row>
    <row r="156" spans="1:1" x14ac:dyDescent="0.2">
      <c r="A156">
        <v>156</v>
      </c>
    </row>
    <row r="157" spans="1:1" x14ac:dyDescent="0.2">
      <c r="A157">
        <v>157</v>
      </c>
    </row>
    <row r="158" spans="1:1" x14ac:dyDescent="0.2">
      <c r="A158">
        <v>158</v>
      </c>
    </row>
    <row r="159" spans="1:1" x14ac:dyDescent="0.2">
      <c r="A159">
        <v>159</v>
      </c>
    </row>
    <row r="160" spans="1:1" x14ac:dyDescent="0.2">
      <c r="A160">
        <v>160</v>
      </c>
    </row>
    <row r="161" spans="1:1" x14ac:dyDescent="0.2">
      <c r="A161">
        <v>161</v>
      </c>
    </row>
    <row r="162" spans="1:1" x14ac:dyDescent="0.2">
      <c r="A162">
        <v>162</v>
      </c>
    </row>
    <row r="163" spans="1:1" x14ac:dyDescent="0.2">
      <c r="A163">
        <v>163</v>
      </c>
    </row>
    <row r="164" spans="1:1" x14ac:dyDescent="0.2">
      <c r="A164">
        <v>164</v>
      </c>
    </row>
    <row r="165" spans="1:1" x14ac:dyDescent="0.2">
      <c r="A165">
        <v>165</v>
      </c>
    </row>
    <row r="166" spans="1:1" x14ac:dyDescent="0.2">
      <c r="A166">
        <v>166</v>
      </c>
    </row>
    <row r="167" spans="1:1" x14ac:dyDescent="0.2">
      <c r="A167">
        <v>167</v>
      </c>
    </row>
    <row r="168" spans="1:1" x14ac:dyDescent="0.2">
      <c r="A168">
        <v>168</v>
      </c>
    </row>
    <row r="169" spans="1:1" x14ac:dyDescent="0.2">
      <c r="A169">
        <v>169</v>
      </c>
    </row>
    <row r="170" spans="1:1" x14ac:dyDescent="0.2">
      <c r="A170">
        <v>170</v>
      </c>
    </row>
    <row r="171" spans="1:1" x14ac:dyDescent="0.2">
      <c r="A171">
        <v>171</v>
      </c>
    </row>
    <row r="172" spans="1:1" x14ac:dyDescent="0.2">
      <c r="A172">
        <v>172</v>
      </c>
    </row>
    <row r="173" spans="1:1" x14ac:dyDescent="0.2">
      <c r="A173">
        <v>173</v>
      </c>
    </row>
    <row r="174" spans="1:1" x14ac:dyDescent="0.2">
      <c r="A174">
        <v>174</v>
      </c>
    </row>
    <row r="175" spans="1:1" x14ac:dyDescent="0.2">
      <c r="A175">
        <v>175</v>
      </c>
    </row>
    <row r="176" spans="1:1" x14ac:dyDescent="0.2">
      <c r="A176">
        <v>176</v>
      </c>
    </row>
    <row r="177" spans="1:1" x14ac:dyDescent="0.2">
      <c r="A177">
        <v>177</v>
      </c>
    </row>
    <row r="178" spans="1:1" x14ac:dyDescent="0.2">
      <c r="A178">
        <v>178</v>
      </c>
    </row>
    <row r="179" spans="1:1" x14ac:dyDescent="0.2">
      <c r="A179">
        <v>179</v>
      </c>
    </row>
    <row r="180" spans="1:1" x14ac:dyDescent="0.2">
      <c r="A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SULocalAdmin</dc:creator>
  <cp:lastModifiedBy>Kanat Manatov</cp:lastModifiedBy>
  <dcterms:created xsi:type="dcterms:W3CDTF">2015-06-05T18:17:20Z</dcterms:created>
  <dcterms:modified xsi:type="dcterms:W3CDTF">2026-06-26T15:19:01Z</dcterms:modified>
</cp:coreProperties>
</file>